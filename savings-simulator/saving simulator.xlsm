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חוברת_עבודה_זו" defaultThemeVersion="166925"/>
  <mc:AlternateContent xmlns:mc="http://schemas.openxmlformats.org/markup-compatibility/2006">
    <mc:Choice Requires="x15">
      <x15ac:absPath xmlns:x15ac="http://schemas.microsoft.com/office/spreadsheetml/2010/11/ac" url="C:\Users\Yechiel\האחסון שלי (ym7000@gmail.com)\ליווי פיננסי\יחיאל\"/>
    </mc:Choice>
  </mc:AlternateContent>
  <xr:revisionPtr revIDLastSave="0" documentId="8_{AD69C8B0-F050-4E29-8A09-A41501E3256A}" xr6:coauthVersionLast="47" xr6:coauthVersionMax="47" xr10:uidLastSave="{00000000-0000-0000-0000-000000000000}"/>
  <bookViews>
    <workbookView xWindow="-108" yWindow="-108" windowWidth="23256" windowHeight="13896" firstSheet="1" activeTab="1" xr2:uid="{3C3B0B18-DCC9-404A-8CA6-C1D5DB3FC5E0}"/>
  </bookViews>
  <sheets>
    <sheet name="גיליון1" sheetId="3" state="hidden" r:id="rId1"/>
    <sheet name="מחשבון חסכון לילדים" sheetId="2" r:id="rId2"/>
    <sheet name="מצטבר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9" i="2" l="1"/>
  <c r="J11" i="2" l="1"/>
  <c r="J16" i="2"/>
  <c r="J21" i="2"/>
  <c r="I8" i="2"/>
  <c r="F8" i="2" s="1"/>
  <c r="J8" i="2" s="1"/>
  <c r="I9" i="2"/>
  <c r="F9" i="2" s="1"/>
  <c r="J9" i="2" s="1"/>
  <c r="I10" i="2"/>
  <c r="F10" i="2" s="1"/>
  <c r="J10" i="2" s="1"/>
  <c r="I11" i="2"/>
  <c r="I12" i="2"/>
  <c r="F12" i="2" s="1"/>
  <c r="J12" i="2" s="1"/>
  <c r="G12" i="2" s="1"/>
  <c r="I13" i="2"/>
  <c r="F13" i="2" s="1"/>
  <c r="J13" i="2" s="1"/>
  <c r="G13" i="2" s="1"/>
  <c r="I14" i="2"/>
  <c r="F14" i="2" s="1"/>
  <c r="J14" i="2" s="1"/>
  <c r="G14" i="2" s="1"/>
  <c r="I15" i="2"/>
  <c r="F15" i="2" s="1"/>
  <c r="J15" i="2" s="1"/>
  <c r="G15" i="2" s="1"/>
  <c r="I16" i="2"/>
  <c r="I17" i="2"/>
  <c r="F17" i="2" s="1"/>
  <c r="J17" i="2" s="1"/>
  <c r="G17" i="2" s="1"/>
  <c r="I18" i="2"/>
  <c r="F18" i="2" s="1"/>
  <c r="J18" i="2" s="1"/>
  <c r="G18" i="2" s="1"/>
  <c r="I19" i="2"/>
  <c r="F19" i="2" s="1"/>
  <c r="J19" i="2" s="1"/>
  <c r="G19" i="2" s="1"/>
  <c r="I20" i="2"/>
  <c r="F20" i="2" s="1"/>
  <c r="J20" i="2" s="1"/>
  <c r="G20" i="2" s="1"/>
  <c r="I21" i="2"/>
  <c r="I22" i="2"/>
  <c r="F22" i="2" s="1"/>
  <c r="J22" i="2" s="1"/>
  <c r="G22" i="2" s="1"/>
  <c r="I23" i="2"/>
  <c r="F23" i="2" s="1"/>
  <c r="J23" i="2" s="1"/>
  <c r="G23" i="2" s="1"/>
  <c r="I24" i="2"/>
  <c r="F24" i="2" s="1"/>
  <c r="J24" i="2" s="1"/>
  <c r="G24" i="2" s="1"/>
  <c r="I25" i="2"/>
  <c r="F25" i="2" s="1"/>
  <c r="J25" i="2" s="1"/>
  <c r="G25" i="2" s="1"/>
  <c r="D8" i="2"/>
  <c r="D10" i="2"/>
  <c r="D12" i="2"/>
  <c r="D13" i="2"/>
  <c r="D14" i="2"/>
  <c r="D15" i="2"/>
  <c r="D17" i="2"/>
  <c r="D18" i="2"/>
  <c r="D19" i="2"/>
  <c r="D20" i="2"/>
  <c r="D22" i="2"/>
  <c r="D23" i="2"/>
  <c r="D24" i="2"/>
  <c r="D25" i="2"/>
  <c r="B30" i="2" l="1"/>
  <c r="B32" i="2"/>
  <c r="G10" i="2"/>
  <c r="B31" i="2"/>
  <c r="G9" i="2"/>
  <c r="G8" i="2"/>
  <c r="D7" i="2"/>
  <c r="D39" i="4" l="1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38" i="4"/>
  <c r="C3" i="2" l="1"/>
  <c r="C2" i="2" s="1"/>
  <c r="I7" i="2" l="1"/>
  <c r="F7" i="2" l="1"/>
  <c r="J7" i="2" s="1"/>
  <c r="B29" i="2" s="1"/>
  <c r="B34" i="2" s="1"/>
  <c r="B45" i="4" l="1"/>
  <c r="B44" i="4"/>
  <c r="B43" i="4"/>
  <c r="B42" i="4"/>
  <c r="B41" i="4"/>
  <c r="B40" i="4"/>
  <c r="B39" i="4"/>
  <c r="B38" i="4"/>
  <c r="B49" i="4"/>
  <c r="C32" i="4" s="1"/>
  <c r="C31" i="4" s="1"/>
  <c r="B35" i="2" s="1"/>
  <c r="B48" i="4"/>
  <c r="B47" i="4"/>
  <c r="B46" i="4"/>
  <c r="B32" i="4"/>
  <c r="B31" i="4" s="1"/>
  <c r="A32" i="2"/>
  <c r="A31" i="2"/>
  <c r="A30" i="2"/>
  <c r="A29" i="2"/>
  <c r="A25" i="2"/>
  <c r="A24" i="2"/>
  <c r="A23" i="2"/>
  <c r="A22" i="2"/>
  <c r="A20" i="2"/>
  <c r="A19" i="2"/>
  <c r="A18" i="2"/>
  <c r="A17" i="2"/>
  <c r="A15" i="2"/>
  <c r="A14" i="2"/>
  <c r="A13" i="2"/>
  <c r="A12" i="2"/>
  <c r="B20" i="3" l="1"/>
  <c r="B21" i="3"/>
  <c r="B22" i="3"/>
  <c r="B19" i="3"/>
  <c r="B15" i="3"/>
  <c r="B16" i="3"/>
  <c r="B17" i="3"/>
  <c r="B14" i="3"/>
  <c r="B10" i="3"/>
  <c r="B11" i="3"/>
  <c r="B12" i="3"/>
  <c r="B9" i="3"/>
  <c r="B5" i="3"/>
  <c r="B6" i="3"/>
  <c r="B7" i="3"/>
  <c r="B4" i="3"/>
  <c r="N3" i="3"/>
  <c r="N4" i="3"/>
  <c r="N5" i="3"/>
  <c r="N2" i="3"/>
  <c r="F22" i="3"/>
  <c r="F21" i="3"/>
  <c r="G21" i="3" s="1"/>
  <c r="F20" i="3"/>
  <c r="G20" i="3" s="1"/>
  <c r="F19" i="3"/>
  <c r="F17" i="3"/>
  <c r="F16" i="3"/>
  <c r="F15" i="3"/>
  <c r="F14" i="3"/>
  <c r="F12" i="3"/>
  <c r="F11" i="3"/>
  <c r="G11" i="3" s="1"/>
  <c r="F10" i="3"/>
  <c r="G10" i="3" s="1"/>
  <c r="F9" i="3"/>
  <c r="F7" i="3"/>
  <c r="F6" i="3"/>
  <c r="F5" i="3"/>
  <c r="G5" i="3" s="1"/>
  <c r="F4" i="3"/>
  <c r="G12" i="3" l="1"/>
  <c r="G17" i="3"/>
  <c r="G16" i="3"/>
  <c r="G4" i="3"/>
  <c r="G9" i="3"/>
  <c r="G14" i="3"/>
  <c r="G7" i="3"/>
  <c r="G6" i="3"/>
  <c r="G22" i="3"/>
  <c r="G15" i="3"/>
  <c r="G19" i="3"/>
  <c r="G7" i="2" l="1"/>
  <c r="C38" i="4" l="1"/>
  <c r="C39" i="4" l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</calcChain>
</file>

<file path=xl/sharedStrings.xml><?xml version="1.0" encoding="utf-8"?>
<sst xmlns="http://schemas.openxmlformats.org/spreadsheetml/2006/main" count="80" uniqueCount="53">
  <si>
    <t>ילד א</t>
  </si>
  <si>
    <t>חתונה</t>
  </si>
  <si>
    <t>לעוד כמה שנים</t>
  </si>
  <si>
    <t>כמה כבר יש</t>
  </si>
  <si>
    <t>כמה רוצים  שיהיה</t>
  </si>
  <si>
    <t>תשואה</t>
  </si>
  <si>
    <t>ילד ב</t>
  </si>
  <si>
    <t>ילד ג</t>
  </si>
  <si>
    <t>ילד ד</t>
  </si>
  <si>
    <t>כמה לחסוך בחודש</t>
  </si>
  <si>
    <t>כמה נשאר לחסוך</t>
  </si>
  <si>
    <t>כמה לחסוך בכל חודש</t>
  </si>
  <si>
    <t>סה"כ חסכון חודשי לילד</t>
  </si>
  <si>
    <t>סה"כ חסכון חודשי</t>
  </si>
  <si>
    <t>שנים</t>
  </si>
  <si>
    <t>הוצאות</t>
  </si>
  <si>
    <t xml:space="preserve">בנים </t>
  </si>
  <si>
    <t>בנות</t>
  </si>
  <si>
    <t>גיל בר/ בת מצווה</t>
  </si>
  <si>
    <t>לימודים</t>
  </si>
  <si>
    <t>התחלת החיים</t>
  </si>
  <si>
    <t>גיל</t>
  </si>
  <si>
    <t>ז/נ</t>
  </si>
  <si>
    <t>ז</t>
  </si>
  <si>
    <t>נ</t>
  </si>
  <si>
    <t>כמה רוצים בסוף</t>
  </si>
  <si>
    <t>כמה צריך לחסוך</t>
  </si>
  <si>
    <t>שם הילד</t>
  </si>
  <si>
    <t>רכישת דירה</t>
  </si>
  <si>
    <t>בר/ בת מצווה</t>
  </si>
  <si>
    <t>חסכון שנתי</t>
  </si>
  <si>
    <t>הסכום הקיים היום:</t>
  </si>
  <si>
    <t>כמה נשאר לחלק:</t>
  </si>
  <si>
    <t>הסכום המקסימלי אותו ניתן להקצות לאירוע</t>
  </si>
  <si>
    <t>סכום שהוקצה</t>
  </si>
  <si>
    <t>ילד 1</t>
  </si>
  <si>
    <t>ילד 2</t>
  </si>
  <si>
    <t>ילד 3</t>
  </si>
  <si>
    <t>ילד 4</t>
  </si>
  <si>
    <t>כמה ילדים יש עכשיו</t>
  </si>
  <si>
    <t>הוספת/ החסרת ילד:</t>
  </si>
  <si>
    <t>מקצה את הסכום הקיים סתם לפי השורות</t>
  </si>
  <si>
    <t>מקצה את הסכום הקיים מהאירוע הקרוב לאירוע הרחוק</t>
  </si>
  <si>
    <t>סכום מצטבר</t>
  </si>
  <si>
    <t>שנתי</t>
  </si>
  <si>
    <t>חודשי</t>
  </si>
  <si>
    <t>ישן</t>
  </si>
  <si>
    <t>חדש</t>
  </si>
  <si>
    <t>end</t>
  </si>
  <si>
    <t>סה"כ חסכון חודשי מאוזן</t>
  </si>
  <si>
    <t>שמירה</t>
  </si>
  <si>
    <t>שם הקובץ</t>
  </si>
  <si>
    <t>גירסה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</si>
</sst>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₪&quot;\ #,##0;[Red]&quot;₪&quot;\ \-#,##0"/>
    <numFmt numFmtId="8" formatCode="&quot;₪&quot;\ #,##0.00;[Red]&quot;₪&quot;\ \-#,##0.00"/>
    <numFmt numFmtId="43" formatCode="_ * #,##0.00_ ;_ * \-#,##0.00_ ;_ * &quot;-&quot;??_ ;_ @_ "/>
    <numFmt numFmtId="164" formatCode="_ * #,##0_ ;_ * \-#,##0_ ;_ * &quot;-&quot;??_ ;_ @_ "/>
  </numFmts>
  <fonts count="20" x14ac:knownFonts="1">
    <font>
      <sz val="11"/>
      <color theme="1"/>
      <name val="Arial"/>
      <family val="2"/>
      <charset val="177"/>
      <scheme val="minor"/>
    </font>
    <font>
      <sz val="11"/>
      <color theme="1"/>
      <name val="Arial"/>
      <family val="2"/>
      <charset val="177"/>
      <scheme val="minor"/>
    </font>
    <font>
      <b/>
      <sz val="11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  <font>
      <sz val="11"/>
      <name val="Arial"/>
      <family val="2"/>
      <charset val="177"/>
      <scheme val="minor"/>
    </font>
    <font>
      <sz val="11"/>
      <color theme="1"/>
      <name val="Arial"/>
      <family val="2"/>
      <scheme val="minor"/>
    </font>
    <font>
      <b/>
      <sz val="11"/>
      <color theme="4"/>
      <name val="Arial"/>
      <family val="2"/>
      <scheme val="minor"/>
    </font>
    <font>
      <b/>
      <sz val="11"/>
      <color theme="5"/>
      <name val="Arial"/>
      <family val="2"/>
      <scheme val="minor"/>
    </font>
    <font>
      <b/>
      <sz val="11"/>
      <color theme="9" tint="-0.249977111117893"/>
      <name val="Arial"/>
      <family val="2"/>
      <scheme val="minor"/>
    </font>
    <font>
      <b/>
      <sz val="11"/>
      <color rgb="FFC00000"/>
      <name val="Arial"/>
      <family val="2"/>
      <scheme val="minor"/>
    </font>
    <font>
      <sz val="11"/>
      <color theme="4"/>
      <name val="Arial"/>
      <family val="2"/>
      <scheme val="minor"/>
    </font>
    <font>
      <sz val="11"/>
      <color theme="5"/>
      <name val="Arial"/>
      <family val="2"/>
      <scheme val="minor"/>
    </font>
    <font>
      <sz val="11"/>
      <color theme="9" tint="-0.249977111117893"/>
      <name val="Arial"/>
      <family val="2"/>
      <scheme val="minor"/>
    </font>
    <font>
      <sz val="11"/>
      <color rgb="FFC00000"/>
      <name val="Arial"/>
      <family val="2"/>
      <scheme val="minor"/>
    </font>
    <font>
      <sz val="11"/>
      <color theme="0"/>
      <name val="Arial"/>
      <family val="2"/>
      <charset val="177"/>
      <scheme val="minor"/>
    </font>
    <font>
      <sz val="12"/>
      <color theme="1"/>
      <name val="Arial"/>
      <family val="2"/>
      <charset val="177"/>
      <scheme val="minor"/>
    </font>
    <font>
      <sz val="11"/>
      <color rgb="FFFF000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1"/>
      <color theme="0"/>
      <name val="Arial"/>
      <family val="2"/>
      <scheme val="minor"/>
    </font>
    <font>
      <b/>
      <sz val="11"/>
      <name val="Arial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3">
    <xf numFmtId="0" fontId="0" fillId="0" borderId="0" xfId="0"/>
    <xf numFmtId="0" fontId="2" fillId="0" borderId="0" xfId="0" applyFont="1"/>
    <xf numFmtId="8" fontId="0" fillId="0" borderId="0" xfId="0" applyNumberFormat="1"/>
    <xf numFmtId="0" fontId="0" fillId="0" borderId="0" xfId="0" applyFill="1"/>
    <xf numFmtId="0" fontId="0" fillId="0" borderId="0" xfId="0" applyNumberFormat="1"/>
    <xf numFmtId="0" fontId="3" fillId="0" borderId="0" xfId="0" applyFont="1"/>
    <xf numFmtId="164" fontId="0" fillId="0" borderId="0" xfId="1" applyNumberFormat="1" applyFont="1"/>
    <xf numFmtId="164" fontId="0" fillId="0" borderId="0" xfId="0" applyNumberFormat="1"/>
    <xf numFmtId="0" fontId="4" fillId="2" borderId="0" xfId="0" applyFont="1" applyFill="1"/>
    <xf numFmtId="9" fontId="4" fillId="2" borderId="0" xfId="2" applyFont="1" applyFill="1"/>
    <xf numFmtId="0" fontId="5" fillId="0" borderId="0" xfId="0" applyFo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9" fillId="0" borderId="0" xfId="0" applyFont="1"/>
    <xf numFmtId="0" fontId="2" fillId="0" borderId="2" xfId="0" applyFont="1" applyBorder="1"/>
    <xf numFmtId="0" fontId="2" fillId="0" borderId="3" xfId="0" applyFont="1" applyBorder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0" borderId="0" xfId="0" applyFont="1"/>
    <xf numFmtId="0" fontId="0" fillId="0" borderId="0" xfId="0" applyProtection="1"/>
    <xf numFmtId="8" fontId="0" fillId="0" borderId="0" xfId="0" applyNumberFormat="1" applyProtection="1"/>
    <xf numFmtId="9" fontId="4" fillId="2" borderId="0" xfId="2" applyFont="1" applyFill="1" applyProtection="1">
      <protection locked="0"/>
    </xf>
    <xf numFmtId="0" fontId="2" fillId="0" borderId="7" xfId="0" applyFont="1" applyBorder="1"/>
    <xf numFmtId="0" fontId="2" fillId="0" borderId="7" xfId="0" applyFont="1" applyBorder="1" applyAlignment="1">
      <alignment horizontal="center" vertical="center" wrapText="1"/>
    </xf>
    <xf numFmtId="6" fontId="0" fillId="0" borderId="0" xfId="0" applyNumberFormat="1" applyProtection="1"/>
    <xf numFmtId="0" fontId="2" fillId="0" borderId="0" xfId="0" applyFont="1" applyFill="1" applyBorder="1" applyAlignment="1">
      <alignment horizontal="center" wrapText="1"/>
    </xf>
    <xf numFmtId="0" fontId="0" fillId="3" borderId="0" xfId="0" applyFill="1"/>
    <xf numFmtId="0" fontId="2" fillId="4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2" fillId="0" borderId="0" xfId="0" applyFont="1" applyAlignment="1">
      <alignment wrapText="1"/>
    </xf>
    <xf numFmtId="6" fontId="0" fillId="0" borderId="0" xfId="0" applyNumberFormat="1" applyBorder="1" applyProtection="1">
      <protection locked="0"/>
    </xf>
    <xf numFmtId="164" fontId="5" fillId="6" borderId="0" xfId="0" applyNumberFormat="1" applyFont="1" applyFill="1"/>
    <xf numFmtId="164" fontId="2" fillId="0" borderId="0" xfId="1" applyNumberFormat="1" applyFont="1"/>
    <xf numFmtId="164" fontId="2" fillId="0" borderId="0" xfId="1" applyNumberFormat="1" applyFont="1" applyAlignment="1">
      <alignment wrapText="1"/>
    </xf>
    <xf numFmtId="0" fontId="5" fillId="0" borderId="3" xfId="0" applyFont="1" applyFill="1" applyBorder="1" applyAlignment="1">
      <alignment horizontal="center" wrapText="1"/>
    </xf>
    <xf numFmtId="0" fontId="2" fillId="0" borderId="10" xfId="0" applyFont="1" applyFill="1" applyBorder="1" applyAlignment="1">
      <alignment horizontal="center" wrapText="1"/>
    </xf>
    <xf numFmtId="0" fontId="16" fillId="0" borderId="0" xfId="0" applyFont="1"/>
    <xf numFmtId="0" fontId="14" fillId="0" borderId="0" xfId="0" applyFont="1" applyProtection="1"/>
    <xf numFmtId="0" fontId="17" fillId="0" borderId="0" xfId="0" applyFont="1" applyFill="1" applyProtection="1"/>
    <xf numFmtId="164" fontId="0" fillId="0" borderId="2" xfId="1" applyNumberFormat="1" applyFont="1" applyBorder="1" applyProtection="1">
      <protection locked="0"/>
    </xf>
    <xf numFmtId="0" fontId="0" fillId="0" borderId="3" xfId="0" applyBorder="1"/>
    <xf numFmtId="0" fontId="0" fillId="0" borderId="10" xfId="0" applyBorder="1"/>
    <xf numFmtId="0" fontId="0" fillId="0" borderId="2" xfId="0" applyBorder="1"/>
    <xf numFmtId="0" fontId="0" fillId="0" borderId="6" xfId="0" applyBorder="1"/>
    <xf numFmtId="0" fontId="18" fillId="0" borderId="0" xfId="0" applyFont="1" applyFill="1" applyBorder="1" applyAlignment="1">
      <alignment horizontal="center" wrapText="1"/>
    </xf>
    <xf numFmtId="164" fontId="0" fillId="6" borderId="8" xfId="1" applyNumberFormat="1" applyFont="1" applyFill="1" applyBorder="1" applyProtection="1">
      <protection locked="0"/>
    </xf>
    <xf numFmtId="8" fontId="4" fillId="0" borderId="0" xfId="0" applyNumberFormat="1" applyFont="1"/>
    <xf numFmtId="0" fontId="4" fillId="0" borderId="0" xfId="0" applyFont="1"/>
    <xf numFmtId="0" fontId="19" fillId="0" borderId="0" xfId="0" applyFont="1"/>
    <xf numFmtId="8" fontId="0" fillId="0" borderId="9" xfId="0" applyNumberFormat="1" applyBorder="1" applyAlignment="1">
      <alignment horizontal="center" vertical="center"/>
    </xf>
    <xf numFmtId="0" fontId="0" fillId="7" borderId="1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2" fillId="8" borderId="0" xfId="0" applyFont="1" applyFill="1"/>
    <xf numFmtId="0" fontId="0" fillId="8" borderId="0" xfId="0" applyFill="1"/>
    <xf numFmtId="0" fontId="2" fillId="8" borderId="6" xfId="0" applyFont="1" applyFill="1" applyBorder="1" applyAlignment="1">
      <alignment wrapText="1"/>
    </xf>
    <xf numFmtId="8" fontId="14" fillId="0" borderId="0" xfId="0" applyNumberFormat="1" applyFont="1"/>
    <xf numFmtId="0" fontId="0" fillId="0" borderId="13" xfId="0" applyBorder="1" applyAlignment="1" applyProtection="1">
      <alignment horizontal="center"/>
      <protection locked="0"/>
    </xf>
    <xf numFmtId="0" fontId="0" fillId="0" borderId="0" xfId="0" applyBorder="1"/>
    <xf numFmtId="8" fontId="0" fillId="0" borderId="0" xfId="0" applyNumberFormat="1" applyBorder="1"/>
    <xf numFmtId="8" fontId="0" fillId="0" borderId="13" xfId="0" applyNumberFormat="1" applyBorder="1" applyAlignment="1">
      <alignment horizontal="center" vertical="center"/>
    </xf>
    <xf numFmtId="164" fontId="0" fillId="7" borderId="3" xfId="1" applyNumberFormat="1" applyFont="1" applyFill="1" applyBorder="1" applyProtection="1">
      <protection locked="0" hidden="1"/>
    </xf>
    <xf numFmtId="6" fontId="0" fillId="8" borderId="0" xfId="0" applyNumberFormat="1" applyFill="1" applyProtection="1">
      <protection hidden="1"/>
    </xf>
    <xf numFmtId="8" fontId="4" fillId="0" borderId="0" xfId="0" applyNumberFormat="1" applyFont="1" applyProtection="1">
      <protection hidden="1"/>
    </xf>
    <xf numFmtId="8" fontId="0" fillId="0" borderId="0" xfId="0" applyNumberFormat="1" applyProtection="1">
      <protection hidden="1"/>
    </xf>
    <xf numFmtId="0" fontId="0" fillId="3" borderId="0" xfId="0" applyFill="1" applyProtection="1">
      <protection hidden="1"/>
    </xf>
    <xf numFmtId="6" fontId="0" fillId="8" borderId="0" xfId="0" applyNumberFormat="1" applyFill="1" applyBorder="1" applyProtection="1">
      <protection hidden="1"/>
    </xf>
    <xf numFmtId="0" fontId="0" fillId="0" borderId="0" xfId="0" applyProtection="1">
      <protection hidden="1"/>
    </xf>
    <xf numFmtId="0" fontId="2" fillId="0" borderId="0" xfId="0" applyFont="1" applyAlignment="1">
      <alignment horizont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4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15" fillId="0" borderId="1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right"/>
    </xf>
    <xf numFmtId="0" fontId="2" fillId="6" borderId="0" xfId="0" applyFont="1" applyFill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0" xfId="0" applyFont="1" applyBorder="1" applyAlignment="1">
      <alignment horizontal="center" wrapText="1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מצטבר!$B$37</c:f>
              <c:strCache>
                <c:ptCount val="1"/>
                <c:pt idx="0">
                  <c:v>חסכון שנתי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מצטבר!$A$38:$A$66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מצטבר!$B$38:$B$66</c:f>
              <c:numCache>
                <c:formatCode>"₪"#,##0.00_);[Red]\("₪"#,##0.00\)</c:formatCode>
                <c:ptCount val="29"/>
                <c:pt idx="0">
                  <c:v>7896.6063870565613</c:v>
                </c:pt>
                <c:pt idx="1">
                  <c:v>7896.6063870565613</c:v>
                </c:pt>
                <c:pt idx="2">
                  <c:v>7896.6063870565613</c:v>
                </c:pt>
                <c:pt idx="3">
                  <c:v>7896.6063870565613</c:v>
                </c:pt>
                <c:pt idx="4">
                  <c:v>7896.6063870565613</c:v>
                </c:pt>
                <c:pt idx="5">
                  <c:v>7896.6063870565613</c:v>
                </c:pt>
                <c:pt idx="6">
                  <c:v>7896.6063870565613</c:v>
                </c:pt>
                <c:pt idx="7">
                  <c:v>7896.6063870565613</c:v>
                </c:pt>
                <c:pt idx="8">
                  <c:v>7896.6063870565613</c:v>
                </c:pt>
                <c:pt idx="9">
                  <c:v>7896.6063870565613</c:v>
                </c:pt>
                <c:pt idx="10">
                  <c:v>7896.6063870565613</c:v>
                </c:pt>
                <c:pt idx="11">
                  <c:v>7896.6063870565613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96F8-4837-8EAF-5F15EB90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37414480"/>
        <c:axId val="337413168"/>
      </c:barChart>
      <c:lineChart>
        <c:grouping val="standard"/>
        <c:varyColors val="0"/>
        <c:ser>
          <c:idx val="1"/>
          <c:order val="1"/>
          <c:tx>
            <c:strRef>
              <c:f>מצטבר!$C$37</c:f>
              <c:strCache>
                <c:ptCount val="1"/>
                <c:pt idx="0">
                  <c:v>סכום מצטבר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מצטבר!$A$38:$A$66</c:f>
              <c:numCache>
                <c:formatCode>General</c:formatCode>
                <c:ptCount val="2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</c:numCache>
            </c:numRef>
          </c:cat>
          <c:val>
            <c:numRef>
              <c:f>מצטבר!$C$38:$C$66</c:f>
              <c:numCache>
                <c:formatCode>"₪"#,##0.00_);[Red]\("₪"#,##0.00\)</c:formatCode>
                <c:ptCount val="29"/>
                <c:pt idx="0">
                  <c:v>16034.106387056561</c:v>
                </c:pt>
                <c:pt idx="1">
                  <c:v>24732.418093465953</c:v>
                </c:pt>
                <c:pt idx="2">
                  <c:v>33865.645385195814</c:v>
                </c:pt>
                <c:pt idx="3">
                  <c:v>43455.534041512168</c:v>
                </c:pt>
                <c:pt idx="4">
                  <c:v>53524.917130644339</c:v>
                </c:pt>
                <c:pt idx="5">
                  <c:v>34097.769374233118</c:v>
                </c:pt>
                <c:pt idx="6">
                  <c:v>43699.264230001339</c:v>
                </c:pt>
                <c:pt idx="7">
                  <c:v>53780.833828557974</c:v>
                </c:pt>
                <c:pt idx="8">
                  <c:v>64366.481907042435</c:v>
                </c:pt>
                <c:pt idx="9">
                  <c:v>75481.412389451114</c:v>
                </c:pt>
                <c:pt idx="10">
                  <c:v>87152.089395980234</c:v>
                </c:pt>
                <c:pt idx="11">
                  <c:v>99406.300252835805</c:v>
                </c:pt>
                <c:pt idx="12">
                  <c:v>104376.61526547759</c:v>
                </c:pt>
                <c:pt idx="13">
                  <c:v>109595.44602875148</c:v>
                </c:pt>
                <c:pt idx="14">
                  <c:v>100075.21833018906</c:v>
                </c:pt>
                <c:pt idx="15">
                  <c:v>92078.979246698524</c:v>
                </c:pt>
                <c:pt idx="16">
                  <c:v>96682.92820903346</c:v>
                </c:pt>
                <c:pt idx="17">
                  <c:v>101517.07461948514</c:v>
                </c:pt>
                <c:pt idx="18">
                  <c:v>6592.9283504594059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F8-4837-8EAF-5F15EB909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414480"/>
        <c:axId val="337413168"/>
      </c:lineChart>
      <c:catAx>
        <c:axId val="3374144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337413168"/>
        <c:crosses val="autoZero"/>
        <c:auto val="1"/>
        <c:lblAlgn val="ctr"/>
        <c:lblOffset val="100"/>
        <c:noMultiLvlLbl val="0"/>
      </c:catAx>
      <c:valAx>
        <c:axId val="33741316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₪&quot;#,##0.00_);[Red]\(&quot;₪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e-IL"/>
          </a:p>
        </c:txPr>
        <c:crossAx val="337414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e-IL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e-I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svg"/><Relationship Id="rId7" Type="http://schemas.openxmlformats.org/officeDocument/2006/relationships/image" Target="../media/image16.svg"/><Relationship Id="rId2" Type="http://schemas.openxmlformats.org/officeDocument/2006/relationships/image" Target="../media/image13.png"/><Relationship Id="rId1" Type="http://schemas.openxmlformats.org/officeDocument/2006/relationships/chart" Target="../charts/chart1.xml"/><Relationship Id="rId6" Type="http://schemas.openxmlformats.org/officeDocument/2006/relationships/image" Target="../media/image15.png"/><Relationship Id="rId5" Type="http://schemas.openxmlformats.org/officeDocument/2006/relationships/image" Target="../media/image4.sv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250248</xdr:colOff>
      <xdr:row>2</xdr:row>
      <xdr:rowOff>166255</xdr:rowOff>
    </xdr:from>
    <xdr:to>
      <xdr:col>22</xdr:col>
      <xdr:colOff>104775</xdr:colOff>
      <xdr:row>27</xdr:row>
      <xdr:rowOff>89189</xdr:rowOff>
    </xdr:to>
    <xdr:sp macro="" textlink="">
      <xdr:nvSpPr>
        <xdr:cNvPr id="2" name="תיבת טקסט 1">
          <a:extLst>
            <a:ext uri="{FF2B5EF4-FFF2-40B4-BE49-F238E27FC236}">
              <a16:creationId xmlns:a16="http://schemas.microsoft.com/office/drawing/2014/main" id="{31B912FB-F239-4758-976B-9A454B34DBEE}"/>
            </a:ext>
          </a:extLst>
        </xdr:cNvPr>
        <xdr:cNvSpPr txBox="1"/>
      </xdr:nvSpPr>
      <xdr:spPr>
        <a:xfrm>
          <a:off x="11220954825" y="556780"/>
          <a:ext cx="3969327" cy="46949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r" rtl="1"/>
          <a:r>
            <a:rPr lang="he-IL" sz="1100" b="1"/>
            <a:t>הוראות הפעלה:</a:t>
          </a:r>
        </a:p>
        <a:p>
          <a:pPr algn="r" rtl="1"/>
          <a:r>
            <a:rPr lang="he-IL" sz="1100"/>
            <a:t>1. יש</a:t>
          </a:r>
          <a:r>
            <a:rPr lang="he-IL" sz="1100" baseline="0"/>
            <a:t> להזין את שמות הילדים בשורות 5-8.</a:t>
          </a:r>
        </a:p>
        <a:p>
          <a:pPr algn="r" rtl="1"/>
          <a:r>
            <a:rPr lang="he-IL" sz="1100" baseline="0"/>
            <a:t>2. בעמודה </a:t>
          </a:r>
          <a:r>
            <a:rPr lang="en-US" sz="1100" baseline="0"/>
            <a:t>B</a:t>
          </a:r>
          <a:r>
            <a:rPr lang="he-IL" sz="1100" baseline="0"/>
            <a:t> "לעוד כמה שנים" נכתוב בעוד כמה שנים נרצה להשתמש בחסכון.</a:t>
          </a:r>
        </a:p>
        <a:p>
          <a:pPr algn="r" rtl="1"/>
          <a:r>
            <a:rPr lang="he-IL" sz="1100" baseline="0"/>
            <a:t>3. בעמודה </a:t>
          </a:r>
          <a:r>
            <a:rPr lang="en-US" sz="1100" baseline="0"/>
            <a:t>C</a:t>
          </a:r>
          <a:r>
            <a:rPr lang="he-IL" sz="1100" baseline="0"/>
            <a:t> "כמה כבר יש" נכתוב כמה כבר חסכנו לאותה מטרה.</a:t>
          </a:r>
        </a:p>
        <a:p>
          <a:pPr algn="r" rtl="1"/>
          <a:r>
            <a:rPr lang="he-IL" sz="1100" baseline="0"/>
            <a:t>4. עמודה </a:t>
          </a:r>
          <a:r>
            <a:rPr lang="en-US" sz="1100" baseline="0"/>
            <a:t>D</a:t>
          </a:r>
          <a:r>
            <a:rPr lang="he-IL" sz="1100" baseline="0"/>
            <a:t> "כמה רוצים שיהיה"- נכתוב לאיזה סכום נרצה להגיע לרגל האירוע.</a:t>
          </a:r>
        </a:p>
        <a:p>
          <a:pPr algn="r" rtl="1"/>
          <a:r>
            <a:rPr lang="he-IL" sz="1100" baseline="0"/>
            <a:t>5. בשדה הצהוב למעלה "תשואה" כברירת מחדל מוזנת תשואה של 5. כמובן לא ניתן לדעת מה תהיה התשואה לאורך השנים אך כאן צריך להזין את הההערכה.</a:t>
          </a:r>
        </a:p>
        <a:p>
          <a:pPr algn="r" rtl="1"/>
          <a:r>
            <a:rPr lang="he-IL" sz="1100"/>
            <a:t>6. בעמודה </a:t>
          </a:r>
          <a:r>
            <a:rPr lang="en-US" sz="1100"/>
            <a:t>B</a:t>
          </a:r>
          <a:r>
            <a:rPr lang="he-IL" sz="1100"/>
            <a:t> שורה 50 בערך, צריך למשוך או למחוק את הנתונים בשורה עד שאנחנו רואים שאין</a:t>
          </a:r>
          <a:r>
            <a:rPr lang="he-IL" sz="1100" baseline="0"/>
            <a:t> נתון שלילי בעמודה ליד (</a:t>
          </a:r>
          <a:r>
            <a:rPr lang="en-US" sz="1100" baseline="0"/>
            <a:t>C</a:t>
          </a:r>
          <a:r>
            <a:rPr lang="he-IL" sz="1100" baseline="0"/>
            <a:t>). המשמעות שאחרי כל ההוצאות עדיין נשאר בפלוס.</a:t>
          </a:r>
        </a:p>
        <a:p>
          <a:pPr algn="r" rtl="1"/>
          <a:endParaRPr lang="he-IL" sz="1100" baseline="0"/>
        </a:p>
        <a:p>
          <a:pPr algn="r" rtl="1"/>
          <a:endParaRPr lang="he-IL" sz="1100" baseline="0"/>
        </a:p>
        <a:p>
          <a:pPr algn="r" rtl="1"/>
          <a:r>
            <a:rPr lang="he-IL" sz="1100" b="1" baseline="0"/>
            <a:t>מה רואים:</a:t>
          </a:r>
        </a:p>
        <a:p>
          <a:pPr algn="r" rtl="1"/>
          <a:r>
            <a:rPr lang="he-IL" sz="1100" b="0" baseline="0"/>
            <a:t>1. בראש הגיליון, בעמודות </a:t>
          </a:r>
          <a:r>
            <a:rPr lang="en-US" sz="1100" b="0" baseline="0"/>
            <a:t>E</a:t>
          </a:r>
          <a:r>
            <a:rPr lang="he-IL" sz="1100" b="0" baseline="0"/>
            <a:t> ו</a:t>
          </a:r>
          <a:r>
            <a:rPr lang="en-US" sz="1100" b="0" baseline="0"/>
            <a:t>F</a:t>
          </a:r>
          <a:r>
            <a:rPr lang="he-IL" sz="1100" b="0" baseline="0"/>
            <a:t>, איזה סכום נשאר לנו לחסוך וכמה אנחנו צריכיך לחסוך בחודש על מנת להגיע למטרה שלנו.</a:t>
          </a:r>
        </a:p>
        <a:p>
          <a:pPr algn="r" rtl="1"/>
          <a:r>
            <a:rPr lang="he-IL" sz="1100" b="0" baseline="0"/>
            <a:t>2. בשורות 27-33, נראה כמה צריך לחסוך לכל ילד סך הכל, וכמה לכולם יחד.</a:t>
          </a:r>
        </a:p>
        <a:p>
          <a:pPr algn="r" rtl="1"/>
          <a:r>
            <a:rPr lang="he-IL" sz="1100" b="0" baseline="0"/>
            <a:t>3. משורה 37 נראה נתונים על החיסכון הכולל, כמה יהיה בקופה בכל רגע נתון. כאן חשוב לשים לב כמה שנים אנחנו צריכים לחסוך את הסכום לעיל.</a:t>
          </a:r>
        </a:p>
        <a:p>
          <a:pPr algn="r" rtl="1"/>
          <a:r>
            <a:rPr lang="he-IL" sz="1100" b="0" baseline="0"/>
            <a:t>אתה המידע הזה נקבל אחרי שנוריד ונוסיף שורות בעמודה "חסכון שנתי"- יש להוסיף ולהסיר שורות עד שנראה בשבעמודה "חסכון מצטבר" אנחנו לא יורדים מתחת לאפס.</a:t>
          </a:r>
        </a:p>
      </xdr:txBody>
    </xdr:sp>
    <xdr:clientData/>
  </xdr:twoCellAnchor>
  <xdr:twoCellAnchor>
    <xdr:from>
      <xdr:col>19</xdr:col>
      <xdr:colOff>638175</xdr:colOff>
      <xdr:row>27</xdr:row>
      <xdr:rowOff>24247</xdr:rowOff>
    </xdr:from>
    <xdr:to>
      <xdr:col>26</xdr:col>
      <xdr:colOff>136813</xdr:colOff>
      <xdr:row>39</xdr:row>
      <xdr:rowOff>75336</xdr:rowOff>
    </xdr:to>
    <xdr:sp macro="" textlink="">
      <xdr:nvSpPr>
        <xdr:cNvPr id="4" name="תיבת טקסט 3">
          <a:extLst>
            <a:ext uri="{FF2B5EF4-FFF2-40B4-BE49-F238E27FC236}">
              <a16:creationId xmlns:a16="http://schemas.microsoft.com/office/drawing/2014/main" id="{B4948D39-C5D8-4145-93F3-71215F68436C}"/>
            </a:ext>
          </a:extLst>
        </xdr:cNvPr>
        <xdr:cNvSpPr txBox="1"/>
      </xdr:nvSpPr>
      <xdr:spPr>
        <a:xfrm>
          <a:off x="11218179587" y="5186797"/>
          <a:ext cx="4299238" cy="26799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r" rtl="1"/>
          <a:r>
            <a:rPr lang="he-IL" sz="1100" b="1"/>
            <a:t>הסברים</a:t>
          </a:r>
          <a:r>
            <a:rPr lang="he-IL" sz="1100" b="1" baseline="0"/>
            <a:t> למפתחים</a:t>
          </a:r>
        </a:p>
        <a:p>
          <a:pPr algn="r" rtl="1"/>
          <a:r>
            <a:rPr lang="he-IL" sz="1100" b="0" baseline="0"/>
            <a:t>1. החישוב כמה צריך לחסוך כל חודש בשביל אירוע ספציפי מחושב כך: לוקחים את מה שיש כבר היום ומחשבים את ה</a:t>
          </a:r>
          <a:r>
            <a:rPr lang="en-US" sz="1100" b="0" baseline="0"/>
            <a:t>fv</a:t>
          </a:r>
          <a:r>
            <a:rPr lang="he-IL" sz="1100" b="0" baseline="0"/>
            <a:t> לפי הריבית. לפני הנתון הזה רואים כמה עוד צריך לחסוך ואז בעמודה </a:t>
          </a:r>
          <a:r>
            <a:rPr lang="en-US" sz="1100" b="0" baseline="0"/>
            <a:t>I</a:t>
          </a:r>
          <a:r>
            <a:rPr lang="he-IL" sz="1100" b="0" baseline="0"/>
            <a:t> בנוסחת </a:t>
          </a:r>
          <a:r>
            <a:rPr lang="en-US" sz="1100" b="0" baseline="0"/>
            <a:t>pmt</a:t>
          </a:r>
          <a:r>
            <a:rPr lang="he-IL" sz="1100" b="0" baseline="0"/>
            <a:t> מחשבים כמה צריך לחסוך להפרשת מה מה שיש למה שרוצים שיהיה.</a:t>
          </a:r>
        </a:p>
        <a:p>
          <a:pPr algn="r" rtl="1"/>
          <a:r>
            <a:rPr lang="he-IL" sz="1100" b="0" baseline="0"/>
            <a:t>2. יש מקרים שמה שיש עכשיו כבר מספיק ואפילו יותר ממה שרוצים, לכן בחישוב הכולל בתא </a:t>
          </a:r>
          <a:r>
            <a:rPr lang="en-US" sz="1100" b="0" baseline="0"/>
            <a:t>b28</a:t>
          </a:r>
          <a:r>
            <a:rPr lang="he-IL" sz="1100" b="0" baseline="0"/>
            <a:t> סוכם את החסכונות הנדרשים ואם יש חסכון בפלוס (כלומר יתרה) אז זה מוריד את הסכום הכולל הנדרש לאותו ילד.</a:t>
          </a:r>
        </a:p>
        <a:p>
          <a:pPr algn="r" rtl="1"/>
          <a:r>
            <a:rPr lang="he-IL" sz="1100" b="0" baseline="0"/>
            <a:t>ג. לגבי עמודה </a:t>
          </a:r>
          <a:r>
            <a:rPr lang="en-US" sz="1100" b="0" baseline="0"/>
            <a:t>b38</a:t>
          </a:r>
          <a:r>
            <a:rPr lang="he-IL" sz="1100" b="0" baseline="0"/>
            <a:t> ומטה, בעצם החודש הראשון של החסכון צובר 12 חודשי ריבית והאחרון לא צובר בכלל, לכן חישבתי את הסכום הנחסך בסוף שנה שוב עם </a:t>
          </a:r>
          <a:r>
            <a:rPr lang="en-US" sz="1100" b="0" baseline="0"/>
            <a:t>pmt</a:t>
          </a:r>
          <a:r>
            <a:rPr lang="he-IL" sz="1100" b="0" baseline="0"/>
            <a:t>.</a:t>
          </a:r>
        </a:p>
        <a:p>
          <a:pPr algn="r" rtl="1"/>
          <a:r>
            <a:rPr lang="he-IL" sz="1100" b="0" baseline="0"/>
            <a:t>ד. ב</a:t>
          </a:r>
          <a:r>
            <a:rPr lang="en-US" sz="1100" b="0" baseline="0"/>
            <a:t>c38 </a:t>
          </a:r>
          <a:r>
            <a:rPr lang="he-IL" sz="1100" b="0" baseline="0"/>
            <a:t> הוספתי את הכסף שנחסך עד היום וחישבתי עליו את הריבית אבל לא הוספתי ריבית לאותה שנה (</a:t>
          </a:r>
          <a:r>
            <a:rPr lang="en-US" sz="1100" b="0" baseline="0"/>
            <a:t>b38</a:t>
          </a:r>
          <a:r>
            <a:rPr lang="he-IL" sz="1100" b="0" baseline="0"/>
            <a:t>) בכלל שה</a:t>
          </a:r>
          <a:r>
            <a:rPr lang="en-US" sz="1100" b="0" baseline="0"/>
            <a:t>mpt </a:t>
          </a:r>
          <a:r>
            <a:rPr lang="he-IL" sz="1100" b="0" baseline="0"/>
            <a:t> מחשב את זה.</a:t>
          </a:r>
        </a:p>
        <a:p>
          <a:pPr algn="r" rtl="1"/>
          <a:r>
            <a:rPr lang="he-IL" sz="1100" b="0" baseline="0"/>
            <a:t>ה. לגבי הגרף, יש משהו מרשים ביחס בין החסכון הקטן לבין ההר שנוצר במצטבר, וגם הנפילה של ההר. נראה לי זה ממחיש את הצורך בהכנה מוקדמת.</a:t>
          </a:r>
          <a:endParaRPr lang="he-IL" sz="1100" b="0"/>
        </a:p>
      </xdr:txBody>
    </xdr:sp>
    <xdr:clientData/>
  </xdr:twoCellAnchor>
  <xdr:twoCellAnchor editAs="oneCell">
    <xdr:from>
      <xdr:col>1</xdr:col>
      <xdr:colOff>657225</xdr:colOff>
      <xdr:row>5</xdr:row>
      <xdr:rowOff>171450</xdr:rowOff>
    </xdr:from>
    <xdr:to>
      <xdr:col>1</xdr:col>
      <xdr:colOff>904875</xdr:colOff>
      <xdr:row>7</xdr:row>
      <xdr:rowOff>28575</xdr:rowOff>
    </xdr:to>
    <xdr:pic macro="[0]!העתקה_הקצאת_חיסכון">
      <xdr:nvPicPr>
        <xdr:cNvPr id="6" name="גרפיקה 5" descr="הצמד">
          <a:extLst>
            <a:ext uri="{FF2B5EF4-FFF2-40B4-BE49-F238E27FC236}">
              <a16:creationId xmlns:a16="http://schemas.microsoft.com/office/drawing/2014/main" id="{F05B6F67-D0C6-49F4-AEA2-3246D4CE7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1239242825" y="762000"/>
          <a:ext cx="247650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371475</xdr:colOff>
      <xdr:row>2</xdr:row>
      <xdr:rowOff>0</xdr:rowOff>
    </xdr:from>
    <xdr:to>
      <xdr:col>4</xdr:col>
      <xdr:colOff>733425</xdr:colOff>
      <xdr:row>3</xdr:row>
      <xdr:rowOff>161925</xdr:rowOff>
    </xdr:to>
    <xdr:pic macro="[0]!מחיקת_כמה_רוצים_שיהיה">
      <xdr:nvPicPr>
        <xdr:cNvPr id="10" name="גרפיקה 9" descr="אשפה">
          <a:extLst>
            <a:ext uri="{FF2B5EF4-FFF2-40B4-BE49-F238E27FC236}">
              <a16:creationId xmlns:a16="http://schemas.microsoft.com/office/drawing/2014/main" id="{1F309103-F3E6-4DCA-9A35-73BD1548F6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6347225" y="39052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2</xdr:col>
      <xdr:colOff>904875</xdr:colOff>
      <xdr:row>2</xdr:row>
      <xdr:rowOff>19050</xdr:rowOff>
    </xdr:from>
    <xdr:to>
      <xdr:col>2</xdr:col>
      <xdr:colOff>1266825</xdr:colOff>
      <xdr:row>3</xdr:row>
      <xdr:rowOff>180975</xdr:rowOff>
    </xdr:to>
    <xdr:pic macro="[0]!מחיקת_כמה_כבר_יש">
      <xdr:nvPicPr>
        <xdr:cNvPr id="11" name="גרפיקה 10" descr="אשפה">
          <a:extLst>
            <a:ext uri="{FF2B5EF4-FFF2-40B4-BE49-F238E27FC236}">
              <a16:creationId xmlns:a16="http://schemas.microsoft.com/office/drawing/2014/main" id="{C8DF0808-D2FD-4906-B7A4-301899D30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8376050" y="409575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12</xdr:col>
      <xdr:colOff>66675</xdr:colOff>
      <xdr:row>0</xdr:row>
      <xdr:rowOff>152400</xdr:rowOff>
    </xdr:from>
    <xdr:to>
      <xdr:col>12</xdr:col>
      <xdr:colOff>561975</xdr:colOff>
      <xdr:row>3</xdr:row>
      <xdr:rowOff>57150</xdr:rowOff>
    </xdr:to>
    <xdr:pic macro="[0]!הוספת_שורה_לילד">
      <xdr:nvPicPr>
        <xdr:cNvPr id="5" name="גרפיקה 4" descr="להוסיף">
          <a:extLst>
            <a:ext uri="{FF2B5EF4-FFF2-40B4-BE49-F238E27FC236}">
              <a16:creationId xmlns:a16="http://schemas.microsoft.com/office/drawing/2014/main" id="{07D76C3C-BE5A-4C50-8634-524EA93AE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7355625" y="152400"/>
          <a:ext cx="495300" cy="4953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152401</xdr:colOff>
      <xdr:row>0</xdr:row>
      <xdr:rowOff>180975</xdr:rowOff>
    </xdr:from>
    <xdr:to>
      <xdr:col>11</xdr:col>
      <xdr:colOff>581026</xdr:colOff>
      <xdr:row>3</xdr:row>
      <xdr:rowOff>19050</xdr:rowOff>
    </xdr:to>
    <xdr:pic macro="[0]!מחיקת_ילד">
      <xdr:nvPicPr>
        <xdr:cNvPr id="7" name="גרפיקה 6" descr="רענן">
          <a:extLst>
            <a:ext uri="{FF2B5EF4-FFF2-40B4-BE49-F238E27FC236}">
              <a16:creationId xmlns:a16="http://schemas.microsoft.com/office/drawing/2014/main" id="{7901782C-F672-4FD0-A6CA-46763BD907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8136674" y="180975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1</xdr:col>
      <xdr:colOff>638176</xdr:colOff>
      <xdr:row>7</xdr:row>
      <xdr:rowOff>33300</xdr:rowOff>
    </xdr:from>
    <xdr:to>
      <xdr:col>1</xdr:col>
      <xdr:colOff>973951</xdr:colOff>
      <xdr:row>8</xdr:row>
      <xdr:rowOff>159525</xdr:rowOff>
    </xdr:to>
    <xdr:pic macro="[0]!הקצאה_לפי_אירוע_קרוב">
      <xdr:nvPicPr>
        <xdr:cNvPr id="13" name="גרפיקה 12" descr="זרימת עבודה מימין לשמאל">
          <a:extLst>
            <a:ext uri="{FF2B5EF4-FFF2-40B4-BE49-F238E27FC236}">
              <a16:creationId xmlns:a16="http://schemas.microsoft.com/office/drawing/2014/main" id="{D29ADE40-CE3C-46B7-8406-3A92DE1BB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237068724" y="1414425"/>
          <a:ext cx="335775" cy="335775"/>
        </a:xfrm>
        <a:prstGeom prst="rect">
          <a:avLst/>
        </a:prstGeom>
      </xdr:spPr>
    </xdr:pic>
    <xdr:clientData/>
  </xdr:twoCellAnchor>
  <xdr:twoCellAnchor editAs="oneCell">
    <xdr:from>
      <xdr:col>10</xdr:col>
      <xdr:colOff>228601</xdr:colOff>
      <xdr:row>7</xdr:row>
      <xdr:rowOff>23775</xdr:rowOff>
    </xdr:from>
    <xdr:to>
      <xdr:col>10</xdr:col>
      <xdr:colOff>564376</xdr:colOff>
      <xdr:row>8</xdr:row>
      <xdr:rowOff>150000</xdr:rowOff>
    </xdr:to>
    <xdr:pic macro="[0]!הקצאה_לפי_אירוע_קרוב">
      <xdr:nvPicPr>
        <xdr:cNvPr id="12" name="גרפיקה 11" descr="זרימת עבודה מימין לשמאל">
          <a:extLst>
            <a:ext uri="{FF2B5EF4-FFF2-40B4-BE49-F238E27FC236}">
              <a16:creationId xmlns:a16="http://schemas.microsoft.com/office/drawing/2014/main" id="{E24AF3D2-628A-4EDF-96EB-4C8181D921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229029624" y="1404900"/>
          <a:ext cx="335775" cy="335775"/>
        </a:xfrm>
        <a:prstGeom prst="rect">
          <a:avLst/>
        </a:prstGeom>
      </xdr:spPr>
    </xdr:pic>
    <xdr:clientData/>
  </xdr:twoCellAnchor>
  <xdr:twoCellAnchor editAs="oneCell">
    <xdr:from>
      <xdr:col>10</xdr:col>
      <xdr:colOff>295275</xdr:colOff>
      <xdr:row>4</xdr:row>
      <xdr:rowOff>57150</xdr:rowOff>
    </xdr:from>
    <xdr:to>
      <xdr:col>10</xdr:col>
      <xdr:colOff>542925</xdr:colOff>
      <xdr:row>5</xdr:row>
      <xdr:rowOff>104775</xdr:rowOff>
    </xdr:to>
    <xdr:pic macro="[0]!העתקה_הקצאת_חיסכון">
      <xdr:nvPicPr>
        <xdr:cNvPr id="14" name="גרפיקה 13" descr="הצמד">
          <a:extLst>
            <a:ext uri="{FF2B5EF4-FFF2-40B4-BE49-F238E27FC236}">
              <a16:creationId xmlns:a16="http://schemas.microsoft.com/office/drawing/2014/main" id="{7249EDF4-CD39-471F-BF73-B6A3B45D6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1229051075" y="847725"/>
          <a:ext cx="247650" cy="247650"/>
        </a:xfrm>
        <a:prstGeom prst="rect">
          <a:avLst/>
        </a:prstGeom>
      </xdr:spPr>
    </xdr:pic>
    <xdr:clientData/>
  </xdr:twoCellAnchor>
  <xdr:twoCellAnchor editAs="absolute">
    <xdr:from>
      <xdr:col>7</xdr:col>
      <xdr:colOff>228600</xdr:colOff>
      <xdr:row>10</xdr:row>
      <xdr:rowOff>152399</xdr:rowOff>
    </xdr:from>
    <xdr:to>
      <xdr:col>14</xdr:col>
      <xdr:colOff>238124</xdr:colOff>
      <xdr:row>27</xdr:row>
      <xdr:rowOff>38099</xdr:rowOff>
    </xdr:to>
    <xdr:grpSp>
      <xdr:nvGrpSpPr>
        <xdr:cNvPr id="3" name="קבוצה 2">
          <a:extLst>
            <a:ext uri="{FF2B5EF4-FFF2-40B4-BE49-F238E27FC236}">
              <a16:creationId xmlns:a16="http://schemas.microsoft.com/office/drawing/2014/main" id="{834EF60B-D712-40D7-970E-41BD50BAE034}"/>
            </a:ext>
          </a:extLst>
        </xdr:cNvPr>
        <xdr:cNvGrpSpPr/>
      </xdr:nvGrpSpPr>
      <xdr:grpSpPr>
        <a:xfrm>
          <a:off x="10976829076" y="2080259"/>
          <a:ext cx="4360544" cy="2971800"/>
          <a:chOff x="11225288885" y="2190749"/>
          <a:chExt cx="4495801" cy="3095625"/>
        </a:xfrm>
      </xdr:grpSpPr>
      <xdr:sp macro="" textlink="">
        <xdr:nvSpPr>
          <xdr:cNvPr id="9" name="תיבת טקסט 8">
            <a:extLst>
              <a:ext uri="{FF2B5EF4-FFF2-40B4-BE49-F238E27FC236}">
                <a16:creationId xmlns:a16="http://schemas.microsoft.com/office/drawing/2014/main" id="{B6FF51E3-AA1E-4ADD-A0DE-472C49D0817B}"/>
              </a:ext>
            </a:extLst>
          </xdr:cNvPr>
          <xdr:cNvSpPr txBox="1"/>
        </xdr:nvSpPr>
        <xdr:spPr>
          <a:xfrm>
            <a:off x="11225288885" y="2190749"/>
            <a:ext cx="4495801" cy="3095625"/>
          </a:xfrm>
          <a:prstGeom prst="rect">
            <a:avLst/>
          </a:prstGeom>
          <a:solidFill>
            <a:schemeClr val="accent3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wrap="square" rtlCol="1" anchor="t"/>
          <a:lstStyle/>
          <a:p>
            <a:pPr algn="r" rtl="1"/>
            <a:r>
              <a:rPr lang="he-IL" sz="1100" b="1"/>
              <a:t>הוראות הפעלה- טכני:</a:t>
            </a:r>
          </a:p>
          <a:p>
            <a:pPr algn="r" rtl="1"/>
            <a:r>
              <a:rPr lang="he-IL" sz="1100"/>
              <a:t>שלב א.</a:t>
            </a:r>
          </a:p>
          <a:p>
            <a:pPr algn="r" rtl="1"/>
            <a:r>
              <a:rPr lang="he-IL" sz="1100"/>
              <a:t>1.</a:t>
            </a:r>
            <a:r>
              <a:rPr lang="he-IL" sz="1100" baseline="0"/>
              <a:t> לבחור כמה ילדים יש- לבחור רק עם הלחצנים המיועדים לכך. אפשר בין 4-9 ילדים.</a:t>
            </a:r>
          </a:p>
          <a:p>
            <a:pPr algn="r" rtl="1"/>
            <a:r>
              <a:rPr lang="he-IL" sz="1100" baseline="0"/>
              <a:t>2. למלא לכל ילד: מתי האירוע, ואיזה סכום צריך בשיבל האירוע.</a:t>
            </a:r>
          </a:p>
          <a:p>
            <a:pPr algn="r" rtl="1"/>
            <a:r>
              <a:rPr lang="he-IL" sz="1100" baseline="0"/>
              <a:t>3. בחלק העליון (</a:t>
            </a:r>
            <a:r>
              <a:rPr lang="en-US" sz="1100" baseline="0"/>
              <a:t>c1</a:t>
            </a:r>
            <a:r>
              <a:rPr lang="he-IL" sz="1100" baseline="0"/>
              <a:t>) להזין את הסכום שכבר קיים היום.</a:t>
            </a:r>
          </a:p>
          <a:p>
            <a:pPr algn="r" rtl="1"/>
            <a:r>
              <a:rPr lang="he-IL" sz="1100" baseline="0"/>
              <a:t>4. לבחור את הריבית הרצויה.</a:t>
            </a:r>
          </a:p>
          <a:p>
            <a:pPr algn="r" rtl="1"/>
            <a:endParaRPr lang="he-IL" sz="1100" baseline="0"/>
          </a:p>
          <a:p>
            <a:pPr algn="r" rtl="1"/>
            <a:r>
              <a:rPr lang="he-IL" sz="1100" baseline="0"/>
              <a:t>שלב ב.</a:t>
            </a:r>
          </a:p>
          <a:p>
            <a:pPr algn="r" rtl="1"/>
            <a:r>
              <a:rPr lang="he-IL" sz="1100" baseline="0"/>
              <a:t>1. לחיצה על הסימן         יחלק את הסכום הקיים לפי סדר כרונולוגי.</a:t>
            </a:r>
          </a:p>
          <a:p>
            <a:pPr algn="r" rtl="1"/>
            <a:endParaRPr lang="he-IL" sz="1100" baseline="0"/>
          </a:p>
          <a:p>
            <a:pPr algn="r" rtl="1"/>
            <a:r>
              <a:rPr lang="he-IL" sz="1100" baseline="0"/>
              <a:t>2. לחיצה על הפחים ירוקן את העמודות מתחתיהם.</a:t>
            </a:r>
          </a:p>
          <a:p>
            <a:pPr algn="r" rtl="1"/>
            <a:endParaRPr lang="he-IL" sz="1100" baseline="0"/>
          </a:p>
          <a:p>
            <a:pPr algn="r" rtl="1"/>
            <a:r>
              <a:rPr lang="he-IL" sz="1100" baseline="0"/>
              <a:t>שלב ג.</a:t>
            </a:r>
          </a:p>
          <a:p>
            <a:pPr algn="r" rtl="1"/>
            <a:r>
              <a:rPr lang="he-IL" sz="1100" baseline="0"/>
              <a:t>1. בגליון "מצטבר" יש ללחוץ על החץ על מנת למלא את הנתונים.</a:t>
            </a:r>
          </a:p>
          <a:p>
            <a:pPr algn="r" rtl="1"/>
            <a:r>
              <a:rPr lang="he-IL" sz="1100" baseline="0"/>
              <a:t>2. על מנת למצוא את הסכום הכי נמוך שניתן לעשות בהוראת קבע למשך כל התקופה- צריך ללחוץ על המאזניים.</a:t>
            </a:r>
          </a:p>
          <a:p>
            <a:pPr algn="r" rtl="1"/>
            <a:endParaRPr lang="he-IL" sz="1100" baseline="0"/>
          </a:p>
          <a:p>
            <a:pPr algn="r" rtl="1"/>
            <a:endParaRPr lang="he-IL" sz="1100" baseline="0"/>
          </a:p>
          <a:p>
            <a:pPr algn="r" rtl="1"/>
            <a:endParaRPr lang="he-IL" sz="1100"/>
          </a:p>
        </xdr:txBody>
      </xdr:sp>
      <xdr:pic macro="[0]!הקצאה_לפי_אירוע_קרוב">
        <xdr:nvPicPr>
          <xdr:cNvPr id="15" name="גרפיקה 14" descr="זרימת עבודה מימין לשמאל">
            <a:extLst>
              <a:ext uri="{FF2B5EF4-FFF2-40B4-BE49-F238E27FC236}">
                <a16:creationId xmlns:a16="http://schemas.microsoft.com/office/drawing/2014/main" id="{13A31CA4-6498-4214-945F-5DD730262E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1228296200" y="3429000"/>
            <a:ext cx="335775" cy="335775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200025</xdr:colOff>
      <xdr:row>27</xdr:row>
      <xdr:rowOff>173354</xdr:rowOff>
    </xdr:from>
    <xdr:to>
      <xdr:col>14</xdr:col>
      <xdr:colOff>209549</xdr:colOff>
      <xdr:row>38</xdr:row>
      <xdr:rowOff>104774</xdr:rowOff>
    </xdr:to>
    <xdr:sp macro="" textlink="">
      <xdr:nvSpPr>
        <xdr:cNvPr id="17" name="תיבת טקסט 16">
          <a:extLst>
            <a:ext uri="{FF2B5EF4-FFF2-40B4-BE49-F238E27FC236}">
              <a16:creationId xmlns:a16="http://schemas.microsoft.com/office/drawing/2014/main" id="{E1C758C5-4A1A-440B-AC78-051F33C614A2}"/>
            </a:ext>
          </a:extLst>
        </xdr:cNvPr>
        <xdr:cNvSpPr txBox="1"/>
      </xdr:nvSpPr>
      <xdr:spPr>
        <a:xfrm>
          <a:off x="11226336451" y="5362574"/>
          <a:ext cx="4410074" cy="2962275"/>
        </a:xfrm>
        <a:prstGeom prst="rect">
          <a:avLst/>
        </a:prstGeom>
        <a:solidFill>
          <a:schemeClr val="accent3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wrap="square" rtlCol="1" anchor="t"/>
        <a:lstStyle/>
        <a:p>
          <a:pPr algn="r" rtl="1"/>
          <a:r>
            <a:rPr lang="he-IL" sz="1100" b="1"/>
            <a:t>הוראות הפעלה- פיננסי:</a:t>
          </a:r>
        </a:p>
        <a:p>
          <a:pPr algn="r" rtl="1"/>
          <a:r>
            <a:rPr lang="he-IL" sz="1100"/>
            <a:t>שלב</a:t>
          </a:r>
          <a:r>
            <a:rPr lang="he-IL" sz="1100" baseline="0"/>
            <a:t> א- הבנת המשמעות של תשואה וריבית דריבית</a:t>
          </a:r>
        </a:p>
        <a:p>
          <a:pPr algn="r" rtl="1"/>
          <a:r>
            <a:rPr lang="he-IL" sz="1100" baseline="0"/>
            <a:t>1. ננסה להפעיל את המחשבון כאילו אנחנו חוסכים בבנק- כלומר 0 אחוז תשואה.</a:t>
          </a:r>
        </a:p>
        <a:p>
          <a:pPr algn="r" rtl="1"/>
          <a:r>
            <a:rPr lang="he-IL" sz="1100" baseline="0"/>
            <a:t>2. נשים לב איזה סכום יוצא שאנחנו צריכיך לחסוך בחודש. </a:t>
          </a:r>
        </a:p>
        <a:p>
          <a:pPr algn="r" rtl="1"/>
          <a:r>
            <a:rPr lang="he-IL" sz="1100" baseline="0"/>
            <a:t>3. עכשיו ננסה לראות מה קורה עם נוסיף ריבית (לדוגמה 5.5 אחוז).</a:t>
          </a:r>
        </a:p>
        <a:p>
          <a:pPr algn="r" rtl="1"/>
          <a:endParaRPr lang="he-IL" sz="1100" baseline="0"/>
        </a:p>
        <a:p>
          <a:pPr algn="r" rtl="1"/>
          <a:r>
            <a:rPr lang="he-IL" sz="1100" baseline="0"/>
            <a:t>שלב ב- איזה סכום אני צריך לחסוך?</a:t>
          </a:r>
        </a:p>
        <a:p>
          <a:pPr algn="r" rtl="1"/>
          <a:r>
            <a:rPr lang="he-IL" sz="1100" baseline="0"/>
            <a:t>1. אחרי שהבנו שאת החיסכונות שלנו צריך להשקיע, צריך להבין איזה סכום להשקיע.</a:t>
          </a:r>
        </a:p>
        <a:p>
          <a:pPr algn="r" rtl="1"/>
          <a:r>
            <a:rPr lang="he-IL" sz="1100" baseline="0"/>
            <a:t>2. אם הסכום שיצא לנו הוא גבוהה מדי זה מעיד על בעיה פיננסית עתידים וכדאי לחשוב איך מתכוננים אליה.</a:t>
          </a:r>
        </a:p>
        <a:p>
          <a:pPr algn="r" rtl="1"/>
          <a:r>
            <a:rPr lang="he-IL" sz="1100" baseline="0"/>
            <a:t>3. בגליון "מצטבר" יש שני אפשרויות איזה סכום לחסוך: 1. לחסוך פחות שנים אבל סכום יותר גבוה. 2. לחסוך לאורך כל תקופת האירועים אבל סכום יותר נמוך.</a:t>
          </a:r>
        </a:p>
        <a:p>
          <a:pPr algn="r" rtl="1"/>
          <a:r>
            <a:rPr lang="he-IL" sz="1100" baseline="0"/>
            <a:t>4. הגרף ימחיש לנו איך עם השקעות קבועות ויחסית קטנות מצטבר לנו סכום משמעותי.</a:t>
          </a:r>
        </a:p>
        <a:p>
          <a:pPr algn="r" rtl="1"/>
          <a:endParaRPr lang="he-IL" sz="1100"/>
        </a:p>
      </xdr:txBody>
    </xdr:sp>
    <xdr:clientData/>
  </xdr:twoCellAnchor>
  <xdr:twoCellAnchor editAs="oneCell">
    <xdr:from>
      <xdr:col>15</xdr:col>
      <xdr:colOff>247650</xdr:colOff>
      <xdr:row>0</xdr:row>
      <xdr:rowOff>0</xdr:rowOff>
    </xdr:from>
    <xdr:to>
      <xdr:col>15</xdr:col>
      <xdr:colOff>666750</xdr:colOff>
      <xdr:row>2</xdr:row>
      <xdr:rowOff>28575</xdr:rowOff>
    </xdr:to>
    <xdr:pic macro="[0]!save_so">
      <xdr:nvPicPr>
        <xdr:cNvPr id="18" name="גרפיקה 17" descr="הורד">
          <a:extLst>
            <a:ext uri="{FF2B5EF4-FFF2-40B4-BE49-F238E27FC236}">
              <a16:creationId xmlns:a16="http://schemas.microsoft.com/office/drawing/2014/main" id="{6CA5F3B7-328F-45DE-A1D0-95FC521AA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225193450" y="0"/>
          <a:ext cx="419100" cy="419100"/>
        </a:xfrm>
        <a:prstGeom prst="rect">
          <a:avLst/>
        </a:prstGeom>
      </xdr:spPr>
    </xdr:pic>
    <xdr:clientData/>
  </xdr:twoCellAnchor>
  <xdr:twoCellAnchor>
    <xdr:from>
      <xdr:col>6</xdr:col>
      <xdr:colOff>1104900</xdr:colOff>
      <xdr:row>0</xdr:row>
      <xdr:rowOff>114299</xdr:rowOff>
    </xdr:from>
    <xdr:to>
      <xdr:col>7</xdr:col>
      <xdr:colOff>1314450</xdr:colOff>
      <xdr:row>10</xdr:row>
      <xdr:rowOff>133349</xdr:rowOff>
    </xdr:to>
    <xdr:sp macro="" textlink="">
      <xdr:nvSpPr>
        <xdr:cNvPr id="8" name="תיבת טקסט 7">
          <a:extLst>
            <a:ext uri="{FF2B5EF4-FFF2-40B4-BE49-F238E27FC236}">
              <a16:creationId xmlns:a16="http://schemas.microsoft.com/office/drawing/2014/main" id="{AB4D6E58-42CD-484A-84BE-FCAAA8AD9E2C}"/>
            </a:ext>
          </a:extLst>
        </xdr:cNvPr>
        <xdr:cNvSpPr txBox="1"/>
      </xdr:nvSpPr>
      <xdr:spPr>
        <a:xfrm>
          <a:off x="11229632100" y="114299"/>
          <a:ext cx="1533525" cy="1990725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1" anchor="t"/>
        <a:lstStyle/>
        <a:p>
          <a:pPr algn="r" rtl="1"/>
          <a:r>
            <a:rPr lang="he-IL" sz="1100"/>
            <a:t>מחשבון</a:t>
          </a:r>
          <a:r>
            <a:rPr lang="he-IL" sz="1100" baseline="0"/>
            <a:t> זה פותח על ידי יאיר ארנון לשימוש אישי בלבד. אין להשתמש למטרות מסחריות. למטרות מסחריות או לכל הערה או תקלה אפשר לפנות אלי 052-5808221 </a:t>
          </a:r>
          <a:endParaRPr lang="en-US" sz="1100" baseline="0"/>
        </a:p>
        <a:p>
          <a:pPr algn="r" rtl="1"/>
          <a:r>
            <a:rPr lang="en-US" sz="1100" baseline="0"/>
            <a:t>yairarnon@gmail.com</a:t>
          </a:r>
        </a:p>
        <a:p>
          <a:pPr algn="r" rtl="1"/>
          <a:r>
            <a:rPr lang="he-IL" sz="1100" baseline="0"/>
            <a:t>יאיר ארנון- ליווי פיננסי למשפחה</a:t>
          </a:r>
          <a:endParaRPr lang="he-IL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38</xdr:row>
      <xdr:rowOff>0</xdr:rowOff>
    </xdr:from>
    <xdr:to>
      <xdr:col>22</xdr:col>
      <xdr:colOff>76199</xdr:colOff>
      <xdr:row>57</xdr:row>
      <xdr:rowOff>95250</xdr:rowOff>
    </xdr:to>
    <xdr:graphicFrame macro="">
      <xdr:nvGraphicFramePr>
        <xdr:cNvPr id="2" name="תרשים 1">
          <a:extLst>
            <a:ext uri="{FF2B5EF4-FFF2-40B4-BE49-F238E27FC236}">
              <a16:creationId xmlns:a16="http://schemas.microsoft.com/office/drawing/2014/main" id="{DE5A1C9F-F9C2-4124-B92B-028CED14F1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34</xdr:row>
      <xdr:rowOff>9525</xdr:rowOff>
    </xdr:from>
    <xdr:to>
      <xdr:col>1</xdr:col>
      <xdr:colOff>333375</xdr:colOff>
      <xdr:row>35</xdr:row>
      <xdr:rowOff>161925</xdr:rowOff>
    </xdr:to>
    <xdr:pic macro="[0]!מילוי_החלק_המצטבר">
      <xdr:nvPicPr>
        <xdr:cNvPr id="3" name="גרפיקה 2" descr="חץ עקומה קלה">
          <a:extLst>
            <a:ext uri="{FF2B5EF4-FFF2-40B4-BE49-F238E27FC236}">
              <a16:creationId xmlns:a16="http://schemas.microsoft.com/office/drawing/2014/main" id="{2100607E-35C1-4B51-AB3E-DBE0F7DE1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 rot="5400000">
          <a:off x="11235413775" y="6162675"/>
          <a:ext cx="333375" cy="333375"/>
        </a:xfrm>
        <a:prstGeom prst="rect">
          <a:avLst/>
        </a:prstGeom>
      </xdr:spPr>
    </xdr:pic>
    <xdr:clientData/>
  </xdr:twoCellAnchor>
  <xdr:twoCellAnchor editAs="oneCell">
    <xdr:from>
      <xdr:col>1</xdr:col>
      <xdr:colOff>619125</xdr:colOff>
      <xdr:row>34</xdr:row>
      <xdr:rowOff>0</xdr:rowOff>
    </xdr:from>
    <xdr:to>
      <xdr:col>1</xdr:col>
      <xdr:colOff>981075</xdr:colOff>
      <xdr:row>36</xdr:row>
      <xdr:rowOff>0</xdr:rowOff>
    </xdr:to>
    <xdr:pic macro="[0]!מחיקת_מצטבר">
      <xdr:nvPicPr>
        <xdr:cNvPr id="4" name="גרפיקה 3" descr="אשפה">
          <a:extLst>
            <a:ext uri="{FF2B5EF4-FFF2-40B4-BE49-F238E27FC236}">
              <a16:creationId xmlns:a16="http://schemas.microsoft.com/office/drawing/2014/main" id="{CF87E10E-11FA-4DA4-A489-185CF4FE09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5"/>
            </a:ext>
          </a:extLst>
        </a:blip>
        <a:stretch>
          <a:fillRect/>
        </a:stretch>
      </xdr:blipFill>
      <xdr:spPr>
        <a:xfrm>
          <a:off x="11234766075" y="6153150"/>
          <a:ext cx="361950" cy="361950"/>
        </a:xfrm>
        <a:prstGeom prst="rect">
          <a:avLst/>
        </a:prstGeom>
      </xdr:spPr>
    </xdr:pic>
    <xdr:clientData/>
  </xdr:twoCellAnchor>
  <xdr:twoCellAnchor editAs="oneCell">
    <xdr:from>
      <xdr:col>2</xdr:col>
      <xdr:colOff>771525</xdr:colOff>
      <xdr:row>32</xdr:row>
      <xdr:rowOff>161924</xdr:rowOff>
    </xdr:from>
    <xdr:to>
      <xdr:col>2</xdr:col>
      <xdr:colOff>1276350</xdr:colOff>
      <xdr:row>35</xdr:row>
      <xdr:rowOff>123824</xdr:rowOff>
    </xdr:to>
    <xdr:pic macro="[0]!איזון_הוראת_קבע">
      <xdr:nvPicPr>
        <xdr:cNvPr id="6" name="גרפיקה 5" descr="מאזני צדק">
          <a:extLst>
            <a:ext uri="{FF2B5EF4-FFF2-40B4-BE49-F238E27FC236}">
              <a16:creationId xmlns:a16="http://schemas.microsoft.com/office/drawing/2014/main" id="{C13162DA-3FC1-4112-8FE9-9EE2D4E846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1234708925" y="5953124"/>
          <a:ext cx="504825" cy="504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ערכת נושא של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91488-40D6-4C24-A58D-B91691856438}">
  <sheetPr codeName="גיליון1"/>
  <dimension ref="A1:R22"/>
  <sheetViews>
    <sheetView rightToLeft="1" workbookViewId="0">
      <selection activeCell="G14" sqref="G14"/>
    </sheetView>
  </sheetViews>
  <sheetFormatPr defaultColWidth="11" defaultRowHeight="13.8" x14ac:dyDescent="0.25"/>
  <cols>
    <col min="2" max="2" width="12.296875" bestFit="1" customWidth="1"/>
    <col min="9" max="9" width="13.09765625" bestFit="1" customWidth="1"/>
  </cols>
  <sheetData>
    <row r="1" spans="1:18" x14ac:dyDescent="0.25">
      <c r="A1" s="1"/>
      <c r="F1" s="8" t="s">
        <v>5</v>
      </c>
      <c r="G1" s="9">
        <v>5.5E-2</v>
      </c>
      <c r="J1" s="1" t="s">
        <v>16</v>
      </c>
      <c r="K1" s="1" t="s">
        <v>17</v>
      </c>
      <c r="L1" s="1" t="s">
        <v>3</v>
      </c>
      <c r="M1" s="1" t="s">
        <v>25</v>
      </c>
      <c r="N1" s="1" t="s">
        <v>26</v>
      </c>
      <c r="O1" s="1"/>
      <c r="P1" s="1" t="s">
        <v>27</v>
      </c>
      <c r="Q1" s="1" t="s">
        <v>21</v>
      </c>
      <c r="R1" s="1" t="s">
        <v>22</v>
      </c>
    </row>
    <row r="2" spans="1:18" x14ac:dyDescent="0.25">
      <c r="B2" s="5"/>
      <c r="C2" s="1"/>
      <c r="D2" s="1"/>
      <c r="E2" s="1"/>
      <c r="I2" t="s">
        <v>18</v>
      </c>
      <c r="J2">
        <v>13</v>
      </c>
      <c r="K2">
        <v>12</v>
      </c>
      <c r="L2">
        <v>0</v>
      </c>
      <c r="M2">
        <v>10000</v>
      </c>
      <c r="N2">
        <f>M2-L2</f>
        <v>10000</v>
      </c>
      <c r="P2" t="s">
        <v>0</v>
      </c>
      <c r="Q2">
        <v>6</v>
      </c>
      <c r="R2" t="s">
        <v>23</v>
      </c>
    </row>
    <row r="3" spans="1:18" x14ac:dyDescent="0.25">
      <c r="B3" s="1" t="s">
        <v>2</v>
      </c>
      <c r="C3" s="1" t="s">
        <v>3</v>
      </c>
      <c r="D3" s="1" t="s">
        <v>4</v>
      </c>
      <c r="E3" s="1"/>
      <c r="F3" s="1" t="s">
        <v>10</v>
      </c>
      <c r="G3" s="1" t="s">
        <v>11</v>
      </c>
      <c r="I3" s="10" t="s">
        <v>1</v>
      </c>
      <c r="J3">
        <v>24</v>
      </c>
      <c r="K3">
        <v>22</v>
      </c>
      <c r="L3">
        <v>0</v>
      </c>
      <c r="M3">
        <v>70000</v>
      </c>
      <c r="N3">
        <f>M3-L3</f>
        <v>70000</v>
      </c>
      <c r="P3" t="s">
        <v>6</v>
      </c>
      <c r="Q3">
        <v>5</v>
      </c>
      <c r="R3" t="s">
        <v>23</v>
      </c>
    </row>
    <row r="4" spans="1:18" x14ac:dyDescent="0.25">
      <c r="A4" s="11" t="s">
        <v>0</v>
      </c>
      <c r="B4">
        <f>IF(R2="ז",$J$2-Q2,$K$2-Q2)</f>
        <v>7</v>
      </c>
      <c r="C4">
        <v>0</v>
      </c>
      <c r="D4">
        <v>0</v>
      </c>
      <c r="F4">
        <f>D4-C4</f>
        <v>0</v>
      </c>
      <c r="G4" s="2">
        <f>PMT((1+$G$1)^(1/12)-1,B4*12,,F4)</f>
        <v>0</v>
      </c>
      <c r="I4" t="s">
        <v>19</v>
      </c>
      <c r="J4">
        <v>25</v>
      </c>
      <c r="K4">
        <v>20</v>
      </c>
      <c r="L4">
        <v>0</v>
      </c>
      <c r="M4">
        <v>20000</v>
      </c>
      <c r="N4">
        <f>M4-L4</f>
        <v>20000</v>
      </c>
      <c r="P4" t="s">
        <v>7</v>
      </c>
      <c r="Q4">
        <v>3</v>
      </c>
      <c r="R4" t="s">
        <v>23</v>
      </c>
    </row>
    <row r="5" spans="1:18" x14ac:dyDescent="0.25">
      <c r="A5" s="11" t="s">
        <v>6</v>
      </c>
      <c r="B5">
        <f>IF(R3="ז",$J$2-Q3,$K$2-Q3)</f>
        <v>8</v>
      </c>
      <c r="C5">
        <v>0</v>
      </c>
      <c r="D5">
        <v>0</v>
      </c>
      <c r="F5">
        <f>D5-C5</f>
        <v>0</v>
      </c>
      <c r="G5" s="2">
        <f>PMT((1+$G$1)^(1/12)-1,B5*12,,F5)</f>
        <v>0</v>
      </c>
      <c r="I5" t="s">
        <v>20</v>
      </c>
      <c r="J5">
        <v>27</v>
      </c>
      <c r="K5">
        <v>25</v>
      </c>
      <c r="L5">
        <v>0</v>
      </c>
      <c r="M5">
        <v>60000</v>
      </c>
      <c r="N5">
        <f>M5-L5</f>
        <v>60000</v>
      </c>
      <c r="P5" t="s">
        <v>8</v>
      </c>
      <c r="Q5">
        <v>0</v>
      </c>
      <c r="R5" t="s">
        <v>24</v>
      </c>
    </row>
    <row r="6" spans="1:18" x14ac:dyDescent="0.25">
      <c r="A6" s="11" t="s">
        <v>7</v>
      </c>
      <c r="B6">
        <f>IF(R4="ז",$J$2-Q4,$K$2-Q4)</f>
        <v>10</v>
      </c>
      <c r="C6" s="4">
        <v>0</v>
      </c>
      <c r="D6">
        <v>0</v>
      </c>
      <c r="F6">
        <f>D6-C6</f>
        <v>0</v>
      </c>
      <c r="G6" s="2">
        <f>PMT((1+$G$1)^(1/12)-1,B6*12,,F6)</f>
        <v>0</v>
      </c>
    </row>
    <row r="7" spans="1:18" x14ac:dyDescent="0.25">
      <c r="A7" s="11" t="s">
        <v>8</v>
      </c>
      <c r="B7">
        <f>IF(R5="ז",$J$2-Q5,$K$2-Q5)</f>
        <v>12</v>
      </c>
      <c r="C7">
        <v>0</v>
      </c>
      <c r="D7">
        <v>0</v>
      </c>
      <c r="F7">
        <f>D7-C7</f>
        <v>0</v>
      </c>
      <c r="G7" s="2">
        <f>PMT((1+$G$1)^(1/12)-1,B7*12,,F7)</f>
        <v>0</v>
      </c>
    </row>
    <row r="8" spans="1:18" x14ac:dyDescent="0.25">
      <c r="A8" s="11"/>
      <c r="B8" s="3"/>
      <c r="G8" s="2"/>
    </row>
    <row r="9" spans="1:18" x14ac:dyDescent="0.25">
      <c r="A9" s="12" t="s">
        <v>0</v>
      </c>
      <c r="B9">
        <f>IF(R2="ז",$J$3-Q2,$K$3-Q2)</f>
        <v>18</v>
      </c>
      <c r="C9">
        <v>0</v>
      </c>
      <c r="D9">
        <v>70000</v>
      </c>
      <c r="F9">
        <f>D9-C9</f>
        <v>70000</v>
      </c>
      <c r="G9" s="2">
        <f>PMT((1+$G$1)^(1/12)-1,B9*12,,F9)</f>
        <v>-193.04683099228058</v>
      </c>
    </row>
    <row r="10" spans="1:18" x14ac:dyDescent="0.25">
      <c r="A10" s="12" t="s">
        <v>6</v>
      </c>
      <c r="B10">
        <f>IF(R3="ז",$J$3-Q3,$K$3-Q3)</f>
        <v>19</v>
      </c>
      <c r="C10">
        <v>0</v>
      </c>
      <c r="D10">
        <v>70000</v>
      </c>
      <c r="F10">
        <f>D10-C10</f>
        <v>70000</v>
      </c>
      <c r="G10" s="2">
        <f>PMT((1+$G$1)^(1/12)-1,B10*12,,F10)</f>
        <v>-177.28285441844122</v>
      </c>
    </row>
    <row r="11" spans="1:18" x14ac:dyDescent="0.25">
      <c r="A11" s="12" t="s">
        <v>7</v>
      </c>
      <c r="B11">
        <f>IF(R4="ז",$J$3-Q4,$K$3-Q4)</f>
        <v>21</v>
      </c>
      <c r="C11" s="4">
        <v>0</v>
      </c>
      <c r="D11">
        <v>70000</v>
      </c>
      <c r="F11">
        <f>D11-C11</f>
        <v>70000</v>
      </c>
      <c r="G11" s="2">
        <f>PMT((1+$G$1)^(1/12)-1,B11*12,,F11)</f>
        <v>-150.6177366026416</v>
      </c>
    </row>
    <row r="12" spans="1:18" x14ac:dyDescent="0.25">
      <c r="A12" s="12" t="s">
        <v>8</v>
      </c>
      <c r="B12">
        <f>IF(R5="ז",$J$3-Q5,$K$3-Q5)</f>
        <v>22</v>
      </c>
      <c r="C12">
        <v>0</v>
      </c>
      <c r="D12">
        <v>70000</v>
      </c>
      <c r="F12">
        <f>D12-C12</f>
        <v>70000</v>
      </c>
      <c r="G12" s="2">
        <f>PMT((1+$G$1)^(1/12)-1,B12*12,,F12)</f>
        <v>-139.27197633605934</v>
      </c>
    </row>
    <row r="13" spans="1:18" x14ac:dyDescent="0.25">
      <c r="A13" s="12"/>
      <c r="B13" s="3"/>
      <c r="G13" s="2"/>
    </row>
    <row r="14" spans="1:18" x14ac:dyDescent="0.25">
      <c r="A14" s="13" t="s">
        <v>0</v>
      </c>
      <c r="B14">
        <f>IF(R2="ז",$J$4-Q2,$K$4-Q2)</f>
        <v>19</v>
      </c>
      <c r="C14">
        <v>0</v>
      </c>
      <c r="D14">
        <v>20000</v>
      </c>
      <c r="F14">
        <f>D14-C14</f>
        <v>20000</v>
      </c>
      <c r="G14" s="2">
        <f>PMT((1+$G$1)^(1/12)-1,B14*12,,F14)</f>
        <v>-50.652244119554631</v>
      </c>
    </row>
    <row r="15" spans="1:18" x14ac:dyDescent="0.25">
      <c r="A15" s="13" t="s">
        <v>6</v>
      </c>
      <c r="B15">
        <f>IF(R3="ז",$J$4-Q3,$K$4-Q3)</f>
        <v>20</v>
      </c>
      <c r="C15">
        <v>0</v>
      </c>
      <c r="D15">
        <v>10000</v>
      </c>
      <c r="F15">
        <f>D15-C15</f>
        <v>10000</v>
      </c>
      <c r="G15" s="2">
        <f>PMT((1+$G$1)^(1/12)-1,B15*12,,F15)</f>
        <v>-23.317332556132673</v>
      </c>
    </row>
    <row r="16" spans="1:18" x14ac:dyDescent="0.25">
      <c r="A16" s="13" t="s">
        <v>7</v>
      </c>
      <c r="B16">
        <f>IF(R4="ז",$J$4-Q4,$K$4-Q4)</f>
        <v>22</v>
      </c>
      <c r="C16" s="4">
        <v>0</v>
      </c>
      <c r="D16">
        <v>10000</v>
      </c>
      <c r="F16">
        <f>D16-C16</f>
        <v>10000</v>
      </c>
      <c r="G16" s="2">
        <f>PMT((1+$G$1)^(1/12)-1,B16*12,,F16)</f>
        <v>-19.895996619437049</v>
      </c>
    </row>
    <row r="17" spans="1:7" x14ac:dyDescent="0.25">
      <c r="A17" s="13" t="s">
        <v>8</v>
      </c>
      <c r="B17">
        <f>IF(R5="ז",$J$4-Q5,$K$4-Q5)</f>
        <v>20</v>
      </c>
      <c r="C17">
        <v>0</v>
      </c>
      <c r="D17">
        <v>10000</v>
      </c>
      <c r="F17">
        <f>D17-C17</f>
        <v>10000</v>
      </c>
      <c r="G17" s="2">
        <f>PMT((1+$G$1)^(1/12)-1,B17*12,,F17)</f>
        <v>-23.317332556132673</v>
      </c>
    </row>
    <row r="18" spans="1:7" x14ac:dyDescent="0.25">
      <c r="A18" s="13"/>
      <c r="B18" s="3"/>
      <c r="G18" s="2"/>
    </row>
    <row r="19" spans="1:7" x14ac:dyDescent="0.25">
      <c r="A19" s="14" t="s">
        <v>0</v>
      </c>
      <c r="B19">
        <f>IF(R2="ז",$J$5-Q2,$K$5-Q2)</f>
        <v>21</v>
      </c>
      <c r="C19">
        <v>0</v>
      </c>
      <c r="D19">
        <v>50000</v>
      </c>
      <c r="F19">
        <f>D19-C19</f>
        <v>50000</v>
      </c>
      <c r="G19" s="2">
        <f>PMT((1+$G$1)^(1/12)-1,B19*12,,F19)</f>
        <v>-107.58409757331545</v>
      </c>
    </row>
    <row r="20" spans="1:7" x14ac:dyDescent="0.25">
      <c r="A20" s="14" t="s">
        <v>6</v>
      </c>
      <c r="B20">
        <f>IF(R3="ז",$J$5-Q3,$K$5-Q3)</f>
        <v>22</v>
      </c>
      <c r="C20">
        <v>0</v>
      </c>
      <c r="D20">
        <v>50000</v>
      </c>
      <c r="F20">
        <f>D20-C20</f>
        <v>50000</v>
      </c>
      <c r="G20" s="2">
        <f>PMT((1+$G$1)^(1/12)-1,B20*12,,F20)</f>
        <v>-99.479983097185212</v>
      </c>
    </row>
    <row r="21" spans="1:7" x14ac:dyDescent="0.25">
      <c r="A21" s="14" t="s">
        <v>7</v>
      </c>
      <c r="B21">
        <f>IF(R4="ז",$J$5-Q4,$K$5-Q4)</f>
        <v>24</v>
      </c>
      <c r="C21" s="4">
        <v>0</v>
      </c>
      <c r="D21">
        <v>50000</v>
      </c>
      <c r="F21">
        <f>D21-C21</f>
        <v>50000</v>
      </c>
      <c r="G21" s="2">
        <f>PMT((1+$G$1)^(1/12)-1,B21*12,,F21)</f>
        <v>-85.514346061737498</v>
      </c>
    </row>
    <row r="22" spans="1:7" x14ac:dyDescent="0.25">
      <c r="A22" s="14" t="s">
        <v>8</v>
      </c>
      <c r="B22">
        <f>IF(R5="ז",$J$5-Q5,$K$5-Q5)</f>
        <v>25</v>
      </c>
      <c r="C22">
        <v>0</v>
      </c>
      <c r="D22">
        <v>50000</v>
      </c>
      <c r="F22">
        <f>D22-C22</f>
        <v>50000</v>
      </c>
      <c r="G22" s="2">
        <f>PMT((1+$G$1)^(1/12)-1,B22*12,,F22)</f>
        <v>-79.471654908618618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77C25-B519-4B6E-AD29-BEDEB1D6AEBE}">
  <sheetPr codeName="גיליון2"/>
  <dimension ref="A1:P102"/>
  <sheetViews>
    <sheetView rightToLeft="1" tabSelected="1" zoomScaleNormal="100" workbookViewId="0">
      <selection activeCell="C23" sqref="C23"/>
    </sheetView>
  </sheetViews>
  <sheetFormatPr defaultRowHeight="13.8" x14ac:dyDescent="0.25"/>
  <cols>
    <col min="1" max="1" width="8.296875" customWidth="1"/>
    <col min="2" max="2" width="13.3984375" bestFit="1" customWidth="1"/>
    <col min="3" max="3" width="18.09765625" customWidth="1"/>
    <col min="4" max="4" width="15.3984375" bestFit="1" customWidth="1"/>
    <col min="5" max="5" width="14.3984375" style="6" customWidth="1"/>
    <col min="6" max="6" width="14.09765625" bestFit="1" customWidth="1"/>
    <col min="7" max="7" width="17.3984375" bestFit="1" customWidth="1"/>
    <col min="8" max="8" width="17.69921875" customWidth="1"/>
    <col min="9" max="9" width="16.3984375" hidden="1" customWidth="1"/>
    <col min="10" max="10" width="18" hidden="1" customWidth="1"/>
    <col min="11" max="11" width="11.3984375" bestFit="1" customWidth="1"/>
    <col min="12" max="12" width="10.3984375" bestFit="1" customWidth="1"/>
  </cols>
  <sheetData>
    <row r="1" spans="1:16" ht="15" customHeight="1" thickBot="1" x14ac:dyDescent="0.3">
      <c r="A1" s="79" t="s">
        <v>31</v>
      </c>
      <c r="B1" s="79"/>
      <c r="C1" s="47">
        <v>100000</v>
      </c>
      <c r="E1"/>
      <c r="F1" s="8" t="s">
        <v>5</v>
      </c>
      <c r="G1" s="23">
        <v>0.05</v>
      </c>
      <c r="H1" s="46" t="s">
        <v>39</v>
      </c>
      <c r="I1">
        <v>4</v>
      </c>
    </row>
    <row r="2" spans="1:16" ht="15.75" customHeight="1" thickBot="1" x14ac:dyDescent="0.3">
      <c r="A2" s="79" t="s">
        <v>32</v>
      </c>
      <c r="B2" s="79"/>
      <c r="C2" s="33">
        <f>C1-C3</f>
        <v>92250</v>
      </c>
      <c r="E2" s="1"/>
      <c r="I2" s="36"/>
      <c r="K2" s="75" t="s">
        <v>40</v>
      </c>
      <c r="L2" s="44"/>
      <c r="M2" s="42"/>
      <c r="O2" s="70" t="s">
        <v>50</v>
      </c>
      <c r="P2" s="70"/>
    </row>
    <row r="3" spans="1:16" ht="15.75" customHeight="1" thickBot="1" x14ac:dyDescent="0.3">
      <c r="B3" s="1" t="s">
        <v>34</v>
      </c>
      <c r="C3" s="34">
        <f>SUM(C7:C25)</f>
        <v>7750</v>
      </c>
      <c r="D3" s="82" t="s">
        <v>33</v>
      </c>
      <c r="E3" s="1"/>
      <c r="I3" s="37"/>
      <c r="K3" s="76"/>
      <c r="L3" s="45"/>
      <c r="M3" s="43"/>
      <c r="O3" t="s">
        <v>51</v>
      </c>
      <c r="P3" s="59" t="s">
        <v>52</v>
      </c>
    </row>
    <row r="4" spans="1:16" ht="15.75" customHeight="1" thickBot="1" x14ac:dyDescent="0.3">
      <c r="D4" s="82"/>
      <c r="E4" s="1"/>
      <c r="I4" s="27"/>
    </row>
    <row r="5" spans="1:16" ht="15.75" customHeight="1" thickBot="1" x14ac:dyDescent="0.3">
      <c r="B5" s="24" t="s">
        <v>2</v>
      </c>
      <c r="C5" s="15" t="s">
        <v>3</v>
      </c>
      <c r="D5" s="82"/>
      <c r="E5" s="16" t="s">
        <v>4</v>
      </c>
      <c r="F5" s="1" t="s">
        <v>10</v>
      </c>
      <c r="G5" s="1" t="s">
        <v>9</v>
      </c>
      <c r="I5" s="27"/>
      <c r="J5" s="1" t="s">
        <v>11</v>
      </c>
      <c r="K5" s="80"/>
      <c r="L5" s="71" t="s">
        <v>41</v>
      </c>
      <c r="M5" s="72"/>
    </row>
    <row r="6" spans="1:16" ht="14.4" thickBot="1" x14ac:dyDescent="0.3">
      <c r="A6" s="78" t="s">
        <v>29</v>
      </c>
      <c r="B6" s="78"/>
      <c r="C6" s="15"/>
      <c r="D6" s="57"/>
      <c r="E6" s="16"/>
      <c r="F6" s="55"/>
      <c r="G6" s="56"/>
      <c r="J6" s="1"/>
      <c r="K6" s="81"/>
      <c r="L6" s="71"/>
      <c r="M6" s="72"/>
    </row>
    <row r="7" spans="1:16" ht="14.4" thickBot="1" x14ac:dyDescent="0.3">
      <c r="A7" s="17" t="s">
        <v>35</v>
      </c>
      <c r="B7" s="52">
        <v>6</v>
      </c>
      <c r="C7" s="41">
        <v>3000</v>
      </c>
      <c r="D7" s="68">
        <f>-PV($G$1,B7,,E7)</f>
        <v>22386.461899098831</v>
      </c>
      <c r="E7" s="63">
        <v>30000</v>
      </c>
      <c r="F7" s="64">
        <f>E7-I7</f>
        <v>25979.713078124973</v>
      </c>
      <c r="G7" s="64">
        <f>J7*-1</f>
        <v>311.22000490637009</v>
      </c>
      <c r="H7" s="22"/>
      <c r="I7" s="26">
        <f>FV((1+$G$1)^(1/12)-1,B7*12,,C7)*(-1)</f>
        <v>4020.2869218750266</v>
      </c>
      <c r="J7" s="22">
        <f>IF(PMT((1+$G$1)^(1/12)-1,B7*12,,F7)&gt;0,0,PMT((1+$G$1)^(1/12)-1,B7*12,,F7))</f>
        <v>-311.22000490637009</v>
      </c>
    </row>
    <row r="8" spans="1:16" ht="16.5" customHeight="1" thickBot="1" x14ac:dyDescent="0.3">
      <c r="A8" s="17" t="s">
        <v>36</v>
      </c>
      <c r="B8" s="53">
        <v>7</v>
      </c>
      <c r="C8" s="41"/>
      <c r="D8" s="68">
        <f t="shared" ref="D8:D25" si="0">-PV($G$1,B8,,E8)</f>
        <v>0</v>
      </c>
      <c r="E8" s="63"/>
      <c r="F8" s="64">
        <f t="shared" ref="F8:F25" si="1">E8-I8</f>
        <v>0</v>
      </c>
      <c r="G8" s="64">
        <f t="shared" ref="G8:G25" si="2">J8*-1</f>
        <v>0</v>
      </c>
      <c r="H8" s="21"/>
      <c r="I8" s="26">
        <f t="shared" ref="I8:I25" si="3">FV((1+$G$1)^(1/12)-1,B8*12,,C8)*(-1)</f>
        <v>0</v>
      </c>
      <c r="J8" s="22">
        <f t="shared" ref="J8:J25" si="4">IF(PMT((1+$G$1)^(1/12)-1,B8*12,,F8)&gt;0,0,PMT((1+$G$1)^(1/12)-1,B8*12,,F8))</f>
        <v>0</v>
      </c>
      <c r="K8" s="80"/>
      <c r="L8" s="73" t="s">
        <v>42</v>
      </c>
      <c r="M8" s="74"/>
      <c r="N8" s="74"/>
    </row>
    <row r="9" spans="1:16" ht="14.4" thickBot="1" x14ac:dyDescent="0.3">
      <c r="A9" s="17" t="s">
        <v>37</v>
      </c>
      <c r="B9" s="53">
        <v>9</v>
      </c>
      <c r="C9" s="41"/>
      <c r="D9" s="68">
        <f t="shared" si="0"/>
        <v>0</v>
      </c>
      <c r="E9" s="63"/>
      <c r="F9" s="64">
        <f t="shared" si="1"/>
        <v>0</v>
      </c>
      <c r="G9" s="64">
        <f t="shared" si="2"/>
        <v>0</v>
      </c>
      <c r="H9" s="21"/>
      <c r="I9" s="26">
        <f t="shared" si="3"/>
        <v>0</v>
      </c>
      <c r="J9" s="22">
        <f t="shared" si="4"/>
        <v>0</v>
      </c>
      <c r="K9" s="81"/>
      <c r="L9" s="73"/>
      <c r="M9" s="74"/>
      <c r="N9" s="74"/>
    </row>
    <row r="10" spans="1:16" ht="15" customHeight="1" thickBot="1" x14ac:dyDescent="0.3">
      <c r="A10" s="17" t="s">
        <v>38</v>
      </c>
      <c r="B10" s="54">
        <v>10</v>
      </c>
      <c r="C10" s="41"/>
      <c r="D10" s="68">
        <f t="shared" si="0"/>
        <v>0</v>
      </c>
      <c r="E10" s="63"/>
      <c r="F10" s="64">
        <f t="shared" si="1"/>
        <v>0</v>
      </c>
      <c r="G10" s="64">
        <f t="shared" si="2"/>
        <v>0</v>
      </c>
      <c r="H10" s="21"/>
      <c r="I10" s="26">
        <f t="shared" si="3"/>
        <v>0</v>
      </c>
      <c r="J10" s="22">
        <f t="shared" si="4"/>
        <v>0</v>
      </c>
    </row>
    <row r="11" spans="1:16" s="38" customFormat="1" ht="15" customHeight="1" thickBot="1" x14ac:dyDescent="0.3">
      <c r="A11" s="5" t="s">
        <v>1</v>
      </c>
      <c r="B11"/>
      <c r="C11"/>
      <c r="D11" s="69"/>
      <c r="E11"/>
      <c r="F11"/>
      <c r="G11"/>
      <c r="H11" s="40"/>
      <c r="I11" s="26">
        <f t="shared" si="3"/>
        <v>0</v>
      </c>
      <c r="J11" s="22" t="e">
        <f t="shared" si="4"/>
        <v>#NUM!</v>
      </c>
    </row>
    <row r="12" spans="1:16" ht="14.4" thickBot="1" x14ac:dyDescent="0.3">
      <c r="A12" s="18" t="str">
        <f>A7</f>
        <v>ילד 1</v>
      </c>
      <c r="B12" s="52">
        <v>15</v>
      </c>
      <c r="C12" s="41">
        <v>1500</v>
      </c>
      <c r="D12" s="68">
        <f t="shared" si="0"/>
        <v>7215.2564713645525</v>
      </c>
      <c r="E12" s="63">
        <v>15000</v>
      </c>
      <c r="F12" s="64">
        <f t="shared" si="1"/>
        <v>11881.607730882897</v>
      </c>
      <c r="G12" s="64">
        <f t="shared" si="2"/>
        <v>44.865952681650086</v>
      </c>
      <c r="H12" s="21"/>
      <c r="I12" s="26">
        <f t="shared" si="3"/>
        <v>3118.3922691171033</v>
      </c>
      <c r="J12" s="22">
        <f t="shared" si="4"/>
        <v>-44.865952681650086</v>
      </c>
    </row>
    <row r="13" spans="1:16" ht="14.4" thickBot="1" x14ac:dyDescent="0.3">
      <c r="A13" s="18" t="str">
        <f>A8</f>
        <v>ילד 2</v>
      </c>
      <c r="B13" s="53">
        <v>16</v>
      </c>
      <c r="C13" s="41"/>
      <c r="D13" s="68">
        <f t="shared" si="0"/>
        <v>0</v>
      </c>
      <c r="E13" s="63"/>
      <c r="F13" s="64">
        <f t="shared" si="1"/>
        <v>0</v>
      </c>
      <c r="G13" s="64">
        <f t="shared" si="2"/>
        <v>0</v>
      </c>
      <c r="H13" s="21"/>
      <c r="I13" s="26">
        <f t="shared" si="3"/>
        <v>0</v>
      </c>
      <c r="J13" s="22">
        <f t="shared" si="4"/>
        <v>0</v>
      </c>
    </row>
    <row r="14" spans="1:16" ht="14.4" thickBot="1" x14ac:dyDescent="0.3">
      <c r="A14" s="18" t="str">
        <f>A9</f>
        <v>ילד 3</v>
      </c>
      <c r="B14" s="53">
        <v>18</v>
      </c>
      <c r="C14" s="41"/>
      <c r="D14" s="68">
        <f t="shared" si="0"/>
        <v>0</v>
      </c>
      <c r="E14" s="63"/>
      <c r="F14" s="64">
        <f t="shared" si="1"/>
        <v>0</v>
      </c>
      <c r="G14" s="64">
        <f t="shared" si="2"/>
        <v>0</v>
      </c>
      <c r="H14" s="21"/>
      <c r="I14" s="26">
        <f t="shared" si="3"/>
        <v>0</v>
      </c>
      <c r="J14" s="22">
        <f t="shared" si="4"/>
        <v>0</v>
      </c>
    </row>
    <row r="15" spans="1:16" ht="14.4" thickBot="1" x14ac:dyDescent="0.3">
      <c r="A15" s="18" t="str">
        <f>A10</f>
        <v>ילד 4</v>
      </c>
      <c r="B15" s="54">
        <v>20</v>
      </c>
      <c r="C15" s="41"/>
      <c r="D15" s="68">
        <f t="shared" si="0"/>
        <v>0</v>
      </c>
      <c r="E15" s="63"/>
      <c r="F15" s="64">
        <f t="shared" si="1"/>
        <v>0</v>
      </c>
      <c r="G15" s="64">
        <f t="shared" si="2"/>
        <v>0</v>
      </c>
      <c r="H15" s="21"/>
      <c r="I15" s="26">
        <f t="shared" si="3"/>
        <v>0</v>
      </c>
      <c r="J15" s="22">
        <f t="shared" si="4"/>
        <v>0</v>
      </c>
    </row>
    <row r="16" spans="1:16" ht="14.4" thickBot="1" x14ac:dyDescent="0.3">
      <c r="A16" s="13" t="s">
        <v>19</v>
      </c>
      <c r="D16" s="69"/>
      <c r="E16"/>
      <c r="H16" s="39"/>
      <c r="I16" s="26">
        <f t="shared" si="3"/>
        <v>0</v>
      </c>
      <c r="J16" s="22" t="e">
        <f t="shared" si="4"/>
        <v>#NUM!</v>
      </c>
    </row>
    <row r="17" spans="1:10" ht="14.4" thickBot="1" x14ac:dyDescent="0.3">
      <c r="A17" s="19" t="str">
        <f>A7</f>
        <v>ילד 1</v>
      </c>
      <c r="B17" s="52">
        <v>16</v>
      </c>
      <c r="C17" s="41">
        <v>3000</v>
      </c>
      <c r="D17" s="68">
        <f t="shared" si="0"/>
        <v>5955.4497858882032</v>
      </c>
      <c r="E17" s="63">
        <v>13000</v>
      </c>
      <c r="F17" s="64">
        <f t="shared" si="1"/>
        <v>6451.3762348540758</v>
      </c>
      <c r="G17" s="64">
        <f t="shared" si="2"/>
        <v>22.220196133924887</v>
      </c>
      <c r="H17" s="21"/>
      <c r="I17" s="26">
        <f t="shared" si="3"/>
        <v>6548.6237651459242</v>
      </c>
      <c r="J17" s="22">
        <f t="shared" si="4"/>
        <v>-22.220196133924887</v>
      </c>
    </row>
    <row r="18" spans="1:10" ht="14.4" thickBot="1" x14ac:dyDescent="0.3">
      <c r="A18" s="19" t="str">
        <f>A8</f>
        <v>ילד 2</v>
      </c>
      <c r="B18" s="53">
        <v>17</v>
      </c>
      <c r="C18" s="41"/>
      <c r="D18" s="68">
        <f t="shared" si="0"/>
        <v>0</v>
      </c>
      <c r="E18" s="63"/>
      <c r="F18" s="64">
        <f t="shared" si="1"/>
        <v>0</v>
      </c>
      <c r="G18" s="64">
        <f t="shared" si="2"/>
        <v>0</v>
      </c>
      <c r="H18" s="21"/>
      <c r="I18" s="26">
        <f t="shared" si="3"/>
        <v>0</v>
      </c>
      <c r="J18" s="22">
        <f t="shared" si="4"/>
        <v>0</v>
      </c>
    </row>
    <row r="19" spans="1:10" ht="14.4" thickBot="1" x14ac:dyDescent="0.3">
      <c r="A19" s="19" t="str">
        <f>A9</f>
        <v>ילד 3</v>
      </c>
      <c r="B19" s="53">
        <v>19</v>
      </c>
      <c r="C19" s="41"/>
      <c r="D19" s="68">
        <f t="shared" si="0"/>
        <v>0</v>
      </c>
      <c r="E19" s="63"/>
      <c r="F19" s="64">
        <f t="shared" si="1"/>
        <v>0</v>
      </c>
      <c r="G19" s="64">
        <f t="shared" si="2"/>
        <v>0</v>
      </c>
      <c r="H19" s="21"/>
      <c r="I19" s="26">
        <f t="shared" si="3"/>
        <v>0</v>
      </c>
      <c r="J19" s="22">
        <f t="shared" si="4"/>
        <v>0</v>
      </c>
    </row>
    <row r="20" spans="1:10" ht="14.25" customHeight="1" thickBot="1" x14ac:dyDescent="0.3">
      <c r="A20" s="19" t="str">
        <f>A10</f>
        <v>ילד 4</v>
      </c>
      <c r="B20" s="54">
        <v>20</v>
      </c>
      <c r="C20" s="41"/>
      <c r="D20" s="68">
        <f t="shared" si="0"/>
        <v>0</v>
      </c>
      <c r="E20" s="63"/>
      <c r="F20" s="64">
        <f t="shared" si="1"/>
        <v>0</v>
      </c>
      <c r="G20" s="64">
        <f t="shared" si="2"/>
        <v>0</v>
      </c>
      <c r="H20" s="21"/>
      <c r="I20" s="26">
        <f t="shared" si="3"/>
        <v>0</v>
      </c>
      <c r="J20" s="22">
        <f t="shared" si="4"/>
        <v>0</v>
      </c>
    </row>
    <row r="21" spans="1:10" ht="14.25" customHeight="1" thickBot="1" x14ac:dyDescent="0.3">
      <c r="A21" s="14" t="s">
        <v>28</v>
      </c>
      <c r="D21" s="69"/>
      <c r="E21"/>
      <c r="H21" s="39"/>
      <c r="I21" s="26">
        <f t="shared" si="3"/>
        <v>0</v>
      </c>
      <c r="J21" s="22" t="e">
        <f t="shared" si="4"/>
        <v>#NUM!</v>
      </c>
    </row>
    <row r="22" spans="1:10" ht="14.4" thickBot="1" x14ac:dyDescent="0.3">
      <c r="A22" s="20" t="str">
        <f>A7</f>
        <v>ילד 1</v>
      </c>
      <c r="B22" s="52">
        <v>19</v>
      </c>
      <c r="C22" s="41">
        <v>250</v>
      </c>
      <c r="D22" s="68">
        <f t="shared" si="0"/>
        <v>39573.39570166506</v>
      </c>
      <c r="E22" s="63">
        <v>100000</v>
      </c>
      <c r="F22" s="64">
        <f t="shared" si="1"/>
        <v>99368.262451156072</v>
      </c>
      <c r="G22" s="64">
        <f t="shared" si="2"/>
        <v>265.12888411037272</v>
      </c>
      <c r="H22" s="21"/>
      <c r="I22" s="26">
        <f t="shared" si="3"/>
        <v>631.73754884392292</v>
      </c>
      <c r="J22" s="22">
        <f t="shared" si="4"/>
        <v>-265.12888411037272</v>
      </c>
    </row>
    <row r="23" spans="1:10" ht="14.4" thickBot="1" x14ac:dyDescent="0.3">
      <c r="A23" s="20" t="str">
        <f>A8</f>
        <v>ילד 2</v>
      </c>
      <c r="B23" s="53">
        <v>20</v>
      </c>
      <c r="C23" s="41"/>
      <c r="D23" s="68">
        <f t="shared" si="0"/>
        <v>0</v>
      </c>
      <c r="E23" s="63"/>
      <c r="F23" s="64">
        <f t="shared" si="1"/>
        <v>0</v>
      </c>
      <c r="G23" s="64">
        <f t="shared" si="2"/>
        <v>0</v>
      </c>
      <c r="H23" s="21"/>
      <c r="I23" s="26">
        <f t="shared" si="3"/>
        <v>0</v>
      </c>
      <c r="J23" s="22">
        <f t="shared" si="4"/>
        <v>0</v>
      </c>
    </row>
    <row r="24" spans="1:10" ht="14.4" thickBot="1" x14ac:dyDescent="0.3">
      <c r="A24" s="20" t="str">
        <f>A9</f>
        <v>ילד 3</v>
      </c>
      <c r="B24" s="53">
        <v>22</v>
      </c>
      <c r="C24" s="41"/>
      <c r="D24" s="68">
        <f t="shared" si="0"/>
        <v>0</v>
      </c>
      <c r="E24" s="63"/>
      <c r="F24" s="64">
        <f t="shared" si="1"/>
        <v>0</v>
      </c>
      <c r="G24" s="64">
        <f t="shared" si="2"/>
        <v>0</v>
      </c>
      <c r="H24" s="21"/>
      <c r="I24" s="26">
        <f t="shared" si="3"/>
        <v>0</v>
      </c>
      <c r="J24" s="22">
        <f t="shared" si="4"/>
        <v>0</v>
      </c>
    </row>
    <row r="25" spans="1:10" ht="14.4" thickBot="1" x14ac:dyDescent="0.3">
      <c r="A25" s="20" t="str">
        <f>A10</f>
        <v>ילד 4</v>
      </c>
      <c r="B25" s="54">
        <v>24</v>
      </c>
      <c r="C25" s="41"/>
      <c r="D25" s="68">
        <f t="shared" si="0"/>
        <v>0</v>
      </c>
      <c r="E25" s="63"/>
      <c r="F25" s="64">
        <f t="shared" si="1"/>
        <v>0</v>
      </c>
      <c r="G25" s="64">
        <f t="shared" si="2"/>
        <v>0</v>
      </c>
      <c r="H25" s="21"/>
      <c r="I25" s="26">
        <f t="shared" si="3"/>
        <v>0</v>
      </c>
      <c r="J25" s="22">
        <f t="shared" si="4"/>
        <v>0</v>
      </c>
    </row>
    <row r="26" spans="1:10" x14ac:dyDescent="0.25">
      <c r="E26"/>
    </row>
    <row r="27" spans="1:10" x14ac:dyDescent="0.25">
      <c r="D27" s="32"/>
    </row>
    <row r="28" spans="1:10" ht="14.25" customHeight="1" x14ac:dyDescent="0.25">
      <c r="A28" s="77" t="s">
        <v>12</v>
      </c>
      <c r="B28" s="77"/>
      <c r="D28" s="32"/>
    </row>
    <row r="29" spans="1:10" x14ac:dyDescent="0.25">
      <c r="A29" s="11" t="str">
        <f>A7</f>
        <v>ילד 1</v>
      </c>
      <c r="B29" s="2">
        <f>IFERROR(SUM(J7,J12,J17,J22),"----")</f>
        <v>-643.43503783231779</v>
      </c>
      <c r="D29" s="32"/>
    </row>
    <row r="30" spans="1:10" x14ac:dyDescent="0.25">
      <c r="A30" s="12" t="str">
        <f>A8</f>
        <v>ילד 2</v>
      </c>
      <c r="B30" s="2">
        <f>IFERROR(SUM(J8,J13,J18,J23),"----")</f>
        <v>0</v>
      </c>
      <c r="C30" s="2"/>
    </row>
    <row r="31" spans="1:10" x14ac:dyDescent="0.25">
      <c r="A31" s="13" t="str">
        <f>A9</f>
        <v>ילד 3</v>
      </c>
      <c r="B31" s="2">
        <f>IFERROR(SUM(J9,J14,J19,J24),"----")</f>
        <v>0</v>
      </c>
      <c r="C31" s="2"/>
    </row>
    <row r="32" spans="1:10" x14ac:dyDescent="0.25">
      <c r="A32" s="14" t="str">
        <f>A10</f>
        <v>ילד 4</v>
      </c>
      <c r="B32" s="2">
        <f>IFERROR(SUM(J10,J15,J20,J25),"----")</f>
        <v>0</v>
      </c>
      <c r="C32" s="2"/>
    </row>
    <row r="33" spans="1:5" ht="14.4" thickBot="1" x14ac:dyDescent="0.3">
      <c r="E33"/>
    </row>
    <row r="34" spans="1:5" ht="45.75" customHeight="1" thickBot="1" x14ac:dyDescent="0.3">
      <c r="A34" s="25" t="s">
        <v>13</v>
      </c>
      <c r="B34" s="51">
        <f>SUM(B29:B33)</f>
        <v>-643.43503783231779</v>
      </c>
      <c r="C34" s="2"/>
    </row>
    <row r="35" spans="1:5" ht="55.8" thickBot="1" x14ac:dyDescent="0.3">
      <c r="A35" s="25" t="s">
        <v>49</v>
      </c>
      <c r="B35" s="62">
        <f>מצטבר!C31</f>
        <v>-643.43503783232427</v>
      </c>
      <c r="C35" s="60"/>
    </row>
    <row r="36" spans="1:5" x14ac:dyDescent="0.25">
      <c r="A36" s="58" t="s">
        <v>48</v>
      </c>
      <c r="B36" s="61"/>
    </row>
    <row r="37" spans="1:5" x14ac:dyDescent="0.25">
      <c r="A37" s="2"/>
      <c r="B37" s="2"/>
    </row>
    <row r="38" spans="1:5" s="31" customFormat="1" x14ac:dyDescent="0.25">
      <c r="A38" s="2"/>
      <c r="B38" s="2"/>
      <c r="E38" s="35"/>
    </row>
    <row r="39" spans="1:5" ht="14.25" customHeight="1" x14ac:dyDescent="0.25">
      <c r="A39" s="2"/>
      <c r="B39" s="2"/>
    </row>
    <row r="40" spans="1:5" ht="15" customHeight="1" x14ac:dyDescent="0.25">
      <c r="A40" s="2"/>
      <c r="B40" s="2"/>
    </row>
    <row r="41" spans="1:5" x14ac:dyDescent="0.25">
      <c r="A41" s="2"/>
      <c r="B41" s="2"/>
      <c r="D41" s="2"/>
    </row>
    <row r="42" spans="1:5" x14ac:dyDescent="0.25">
      <c r="A42" s="2"/>
      <c r="B42" s="2"/>
    </row>
    <row r="43" spans="1:5" x14ac:dyDescent="0.25">
      <c r="A43" s="2"/>
      <c r="B43" s="2"/>
    </row>
    <row r="44" spans="1:5" x14ac:dyDescent="0.25">
      <c r="A44" s="2"/>
      <c r="B44" s="2"/>
    </row>
    <row r="63" spans="6:7" x14ac:dyDescent="0.25">
      <c r="F63" s="2"/>
      <c r="G63" s="7"/>
    </row>
    <row r="64" spans="6:7" x14ac:dyDescent="0.25">
      <c r="F64" s="2"/>
      <c r="G64" s="7"/>
    </row>
    <row r="65" spans="3:8" x14ac:dyDescent="0.25">
      <c r="F65" s="2"/>
      <c r="G65" s="2"/>
      <c r="H65" s="7"/>
    </row>
    <row r="66" spans="3:8" x14ac:dyDescent="0.25">
      <c r="F66" s="2"/>
      <c r="G66" s="2"/>
      <c r="H66" s="7"/>
    </row>
    <row r="67" spans="3:8" x14ac:dyDescent="0.25">
      <c r="F67" s="2"/>
      <c r="G67" s="2"/>
    </row>
    <row r="74" spans="3:8" x14ac:dyDescent="0.25">
      <c r="C74" s="6"/>
    </row>
    <row r="75" spans="3:8" x14ac:dyDescent="0.25">
      <c r="C75" s="6"/>
    </row>
    <row r="76" spans="3:8" x14ac:dyDescent="0.25">
      <c r="C76" s="6"/>
    </row>
    <row r="77" spans="3:8" x14ac:dyDescent="0.25">
      <c r="C77" s="6"/>
    </row>
    <row r="78" spans="3:8" x14ac:dyDescent="0.25">
      <c r="C78" s="6"/>
    </row>
    <row r="79" spans="3:8" x14ac:dyDescent="0.25">
      <c r="C79" s="6"/>
    </row>
    <row r="80" spans="3:8" x14ac:dyDescent="0.25">
      <c r="C80" s="6"/>
    </row>
    <row r="81" spans="3:5" x14ac:dyDescent="0.25">
      <c r="C81" s="6"/>
    </row>
    <row r="82" spans="3:5" x14ac:dyDescent="0.25">
      <c r="C82" s="6"/>
    </row>
    <row r="83" spans="3:5" x14ac:dyDescent="0.25">
      <c r="C83" s="6"/>
    </row>
    <row r="84" spans="3:5" x14ac:dyDescent="0.25">
      <c r="C84" s="6"/>
    </row>
    <row r="85" spans="3:5" x14ac:dyDescent="0.25">
      <c r="C85" s="6"/>
    </row>
    <row r="86" spans="3:5" x14ac:dyDescent="0.25">
      <c r="C86" s="6"/>
    </row>
    <row r="87" spans="3:5" x14ac:dyDescent="0.25">
      <c r="C87" s="6"/>
    </row>
    <row r="88" spans="3:5" x14ac:dyDescent="0.25">
      <c r="C88" s="6"/>
    </row>
    <row r="89" spans="3:5" x14ac:dyDescent="0.25">
      <c r="C89" s="6"/>
    </row>
    <row r="90" spans="3:5" x14ac:dyDescent="0.25">
      <c r="C90" s="6"/>
    </row>
    <row r="91" spans="3:5" x14ac:dyDescent="0.25">
      <c r="C91" s="6"/>
    </row>
    <row r="92" spans="3:5" x14ac:dyDescent="0.25">
      <c r="C92" s="6"/>
    </row>
    <row r="93" spans="3:5" x14ac:dyDescent="0.25">
      <c r="C93" s="6"/>
    </row>
    <row r="94" spans="3:5" x14ac:dyDescent="0.25">
      <c r="C94" s="6"/>
    </row>
    <row r="95" spans="3:5" x14ac:dyDescent="0.25">
      <c r="C95" s="6"/>
      <c r="E95"/>
    </row>
    <row r="96" spans="3:5" x14ac:dyDescent="0.25">
      <c r="C96" s="6"/>
      <c r="E96"/>
    </row>
    <row r="97" spans="3:5" x14ac:dyDescent="0.25">
      <c r="C97" s="6"/>
      <c r="E97"/>
    </row>
    <row r="98" spans="3:5" x14ac:dyDescent="0.25">
      <c r="C98" s="6"/>
      <c r="E98"/>
    </row>
    <row r="99" spans="3:5" x14ac:dyDescent="0.25">
      <c r="C99" s="6"/>
      <c r="E99"/>
    </row>
    <row r="100" spans="3:5" x14ac:dyDescent="0.25">
      <c r="C100" s="6"/>
      <c r="E100"/>
    </row>
    <row r="101" spans="3:5" x14ac:dyDescent="0.25">
      <c r="C101" s="6"/>
      <c r="E101"/>
    </row>
    <row r="102" spans="3:5" x14ac:dyDescent="0.25">
      <c r="C102" s="6"/>
      <c r="E102"/>
    </row>
  </sheetData>
  <sheetProtection algorithmName="SHA-512" hashValue="36x9XyxeVs4PwrcH/oCwfLaOp4iPdcJ4/2sx6IfKFOWePfb0jVIX7cbz0yLQZdnp2UXL6L53WOYmdekOoY9taw==" saltValue="FKOCsnglkjZsgeAvYTLR+A==" spinCount="100000" sheet="1" objects="1" scenarios="1"/>
  <mergeCells count="11">
    <mergeCell ref="A1:B1"/>
    <mergeCell ref="A2:B2"/>
    <mergeCell ref="K8:K9"/>
    <mergeCell ref="K5:K6"/>
    <mergeCell ref="D3:D5"/>
    <mergeCell ref="O2:P2"/>
    <mergeCell ref="L5:M6"/>
    <mergeCell ref="L8:N9"/>
    <mergeCell ref="K2:K3"/>
    <mergeCell ref="A28:B28"/>
    <mergeCell ref="A6:B6"/>
  </mergeCells>
  <dataValidations count="1">
    <dataValidation type="whole" allowBlank="1" showInputMessage="1" showErrorMessage="1" error="אתה לא יכול להזין סכום שבחישוב הריבית יצור סכום הגבוה מהיעד אותו הגדרת" prompt="שים לב שצריך להזין כאן סכום שלא יעלה על סכום היעד אותו הגדרת לאירוע" sqref="C7:C10 C12:C15 C17:C20 C22:C25" xr:uid="{6154F4EA-CD4F-4E20-9345-53F09D66E4C0}">
      <formula1>0</formula1>
      <formula2>D7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00E07-6618-46B5-9504-8E55ABA9E198}">
  <sheetPr codeName="גיליון3"/>
  <dimension ref="A4:E705"/>
  <sheetViews>
    <sheetView rightToLeft="1" topLeftCell="A37" workbookViewId="0">
      <selection activeCell="B49" sqref="B49"/>
    </sheetView>
  </sheetViews>
  <sheetFormatPr defaultRowHeight="13.8" x14ac:dyDescent="0.25"/>
  <cols>
    <col min="2" max="2" width="15.3984375" bestFit="1" customWidth="1"/>
    <col min="3" max="3" width="24.8984375" customWidth="1"/>
    <col min="6" max="6" width="15.59765625" customWidth="1"/>
  </cols>
  <sheetData>
    <row r="4" spans="2:3" x14ac:dyDescent="0.25">
      <c r="B4" s="2"/>
      <c r="C4" s="2"/>
    </row>
    <row r="5" spans="2:3" x14ac:dyDescent="0.25">
      <c r="B5" s="2"/>
      <c r="C5" s="2"/>
    </row>
    <row r="6" spans="2:3" x14ac:dyDescent="0.25">
      <c r="B6" s="2"/>
      <c r="C6" s="2"/>
    </row>
    <row r="7" spans="2:3" x14ac:dyDescent="0.25">
      <c r="B7" s="2"/>
      <c r="C7" s="2"/>
    </row>
    <row r="8" spans="2:3" x14ac:dyDescent="0.25">
      <c r="B8" s="2"/>
      <c r="C8" s="2"/>
    </row>
    <row r="9" spans="2:3" x14ac:dyDescent="0.25">
      <c r="B9" s="2"/>
      <c r="C9" s="2"/>
    </row>
    <row r="22" spans="1:5" x14ac:dyDescent="0.25">
      <c r="A22" s="49"/>
      <c r="B22" s="49"/>
      <c r="C22" s="49"/>
      <c r="D22" s="49"/>
    </row>
    <row r="23" spans="1:5" x14ac:dyDescent="0.25">
      <c r="A23" s="49"/>
      <c r="B23" s="49"/>
      <c r="C23" s="49"/>
      <c r="D23" s="49"/>
    </row>
    <row r="24" spans="1:5" x14ac:dyDescent="0.25">
      <c r="A24" s="49"/>
      <c r="B24" s="49"/>
      <c r="C24" s="49"/>
      <c r="D24" s="49"/>
    </row>
    <row r="25" spans="1:5" x14ac:dyDescent="0.25">
      <c r="A25" s="49"/>
      <c r="B25" s="49"/>
      <c r="C25" s="49"/>
      <c r="D25" s="49"/>
    </row>
    <row r="26" spans="1:5" x14ac:dyDescent="0.25">
      <c r="A26" s="49"/>
      <c r="B26" s="49"/>
      <c r="C26" s="49"/>
      <c r="D26" s="49"/>
      <c r="E26" s="49"/>
    </row>
    <row r="27" spans="1:5" x14ac:dyDescent="0.25">
      <c r="A27" s="49"/>
      <c r="D27" s="49"/>
      <c r="E27" s="49"/>
    </row>
    <row r="28" spans="1:5" x14ac:dyDescent="0.25">
      <c r="A28" s="49"/>
      <c r="B28" s="48"/>
      <c r="C28" s="48"/>
      <c r="D28" s="49"/>
      <c r="E28" s="49"/>
    </row>
    <row r="29" spans="1:5" x14ac:dyDescent="0.25">
      <c r="A29" s="49"/>
      <c r="B29" s="49"/>
      <c r="C29" s="49"/>
      <c r="D29" s="49"/>
      <c r="E29" s="49"/>
    </row>
    <row r="30" spans="1:5" x14ac:dyDescent="0.25">
      <c r="A30" s="49"/>
      <c r="B30" s="50" t="s">
        <v>46</v>
      </c>
      <c r="C30" s="50" t="s">
        <v>47</v>
      </c>
      <c r="D30" s="49"/>
      <c r="E30" s="49"/>
    </row>
    <row r="31" spans="1:5" x14ac:dyDescent="0.25">
      <c r="A31" s="50" t="s">
        <v>45</v>
      </c>
      <c r="B31" s="65">
        <f>PMT((1+'מחשבון חסכון לילדים'!$G$1)^(1/12)-1,12,,B32)</f>
        <v>-643.43503783232427</v>
      </c>
      <c r="C31" s="65">
        <f>PMT((1+'מחשבון חסכון לילדים'!$G$1)^(1/12)-1,12,,C32)</f>
        <v>-643.43503783232427</v>
      </c>
      <c r="D31" s="49"/>
      <c r="E31" s="49"/>
    </row>
    <row r="32" spans="1:5" x14ac:dyDescent="0.25">
      <c r="A32" s="50" t="s">
        <v>44</v>
      </c>
      <c r="B32" s="65">
        <f>FV((1+'מחשבון חסכון לילדים'!$G$1)^(1/12)-1,12,'מחשבון חסכון לילדים'!$B$34)</f>
        <v>7896.6063870565613</v>
      </c>
      <c r="C32" s="65">
        <f>B49</f>
        <v>7896.6063870565613</v>
      </c>
      <c r="D32" s="49"/>
      <c r="E32" s="49"/>
    </row>
    <row r="33" spans="1:5" x14ac:dyDescent="0.25">
      <c r="A33" s="49"/>
      <c r="C33" s="49"/>
      <c r="D33" s="49"/>
      <c r="E33" s="49"/>
    </row>
    <row r="34" spans="1:5" x14ac:dyDescent="0.25">
      <c r="A34" s="49"/>
      <c r="B34" s="49"/>
      <c r="C34" s="49"/>
      <c r="D34" s="49"/>
      <c r="E34" s="49"/>
    </row>
    <row r="37" spans="1:5" x14ac:dyDescent="0.25">
      <c r="A37" s="29" t="s">
        <v>14</v>
      </c>
      <c r="B37" s="29" t="s">
        <v>30</v>
      </c>
      <c r="C37" s="30" t="s">
        <v>43</v>
      </c>
      <c r="D37" s="29" t="s">
        <v>15</v>
      </c>
    </row>
    <row r="38" spans="1:5" x14ac:dyDescent="0.25">
      <c r="A38" s="28">
        <v>1</v>
      </c>
      <c r="B38" s="65">
        <f>FV((1+'מחשבון חסכון לילדים'!$G$1)^(1/12)-1,12,'מחשבון חסכון לילדים'!$B$34)</f>
        <v>7896.6063870565613</v>
      </c>
      <c r="C38" s="66">
        <f ca="1">B38+'מחשבון חסכון לילדים'!C3*(1+'מחשבון חסכון לילדים'!$G$1)-D38</f>
        <v>16034.106387056561</v>
      </c>
      <c r="D38" s="67">
        <f ca="1">SUMIF('מחשבון חסכון לילדים'!$B$7:$B$27,A38,'מחשבון חסכון לילדים'!$E$7:$E$25)</f>
        <v>0</v>
      </c>
    </row>
    <row r="39" spans="1:5" x14ac:dyDescent="0.25">
      <c r="A39" s="28">
        <v>2</v>
      </c>
      <c r="B39" s="65">
        <f>FV((1+'מחשבון חסכון לילדים'!$G$1)^(1/12)-1,12,'מחשבון חסכון לילדים'!$B$34)</f>
        <v>7896.6063870565613</v>
      </c>
      <c r="C39" s="66">
        <f ca="1">C38*(1+'מחשבון חסכון לילדים'!$G$1)+B39-D39</f>
        <v>24732.418093465953</v>
      </c>
      <c r="D39" s="67">
        <f ca="1">SUMIF('מחשבון חסכון לילדים'!$B$7:$B$27,A39,'מחשבון חסכון לילדים'!$E$7:$E$25)</f>
        <v>0</v>
      </c>
    </row>
    <row r="40" spans="1:5" x14ac:dyDescent="0.25">
      <c r="A40" s="28">
        <v>3</v>
      </c>
      <c r="B40" s="65">
        <f>FV((1+'מחשבון חסכון לילדים'!$G$1)^(1/12)-1,12,'מחשבון חסכון לילדים'!$B$34)</f>
        <v>7896.6063870565613</v>
      </c>
      <c r="C40" s="66">
        <f ca="1">C39*(1+'מחשבון חסכון לילדים'!$G$1)+B40-D40</f>
        <v>33865.645385195814</v>
      </c>
      <c r="D40" s="67">
        <f ca="1">SUMIF('מחשבון חסכון לילדים'!$B$7:$B$27,A40,'מחשבון חסכון לילדים'!$E$7:$E$25)</f>
        <v>0</v>
      </c>
    </row>
    <row r="41" spans="1:5" x14ac:dyDescent="0.25">
      <c r="A41" s="28">
        <v>4</v>
      </c>
      <c r="B41" s="65">
        <f>FV((1+'מחשבון חסכון לילדים'!$G$1)^(1/12)-1,12,'מחשבון חסכון לילדים'!$B$34)</f>
        <v>7896.6063870565613</v>
      </c>
      <c r="C41" s="66">
        <f ca="1">C40*(1+'מחשבון חסכון לילדים'!$G$1)+B41-D41</f>
        <v>43455.534041512168</v>
      </c>
      <c r="D41" s="67">
        <f ca="1">SUMIF('מחשבון חסכון לילדים'!$B$7:$B$27,A41,'מחשבון חסכון לילדים'!$E$7:$E$25)</f>
        <v>0</v>
      </c>
    </row>
    <row r="42" spans="1:5" x14ac:dyDescent="0.25">
      <c r="A42" s="28">
        <v>5</v>
      </c>
      <c r="B42" s="65">
        <f>FV((1+'מחשבון חסכון לילדים'!$G$1)^(1/12)-1,12,'מחשבון חסכון לילדים'!$B$34)</f>
        <v>7896.6063870565613</v>
      </c>
      <c r="C42" s="66">
        <f ca="1">C41*(1+'מחשבון חסכון לילדים'!$G$1)+B42-D42</f>
        <v>53524.917130644339</v>
      </c>
      <c r="D42" s="67">
        <f ca="1">SUMIF('מחשבון חסכון לילדים'!$B$7:$B$27,A42,'מחשבון חסכון לילדים'!$E$7:$E$25)</f>
        <v>0</v>
      </c>
    </row>
    <row r="43" spans="1:5" x14ac:dyDescent="0.25">
      <c r="A43" s="28">
        <v>6</v>
      </c>
      <c r="B43" s="65">
        <f>FV((1+'מחשבון חסכון לילדים'!$G$1)^(1/12)-1,12,'מחשבון חסכון לילדים'!$B$34)</f>
        <v>7896.6063870565613</v>
      </c>
      <c r="C43" s="66">
        <f ca="1">C42*(1+'מחשבון חסכון לילדים'!$G$1)+B43-D43</f>
        <v>34097.769374233118</v>
      </c>
      <c r="D43" s="67">
        <f ca="1">SUMIF('מחשבון חסכון לילדים'!$B$7:$B$27,A43,'מחשבון חסכון לילדים'!$E$7:$E$25)</f>
        <v>30000</v>
      </c>
    </row>
    <row r="44" spans="1:5" x14ac:dyDescent="0.25">
      <c r="A44" s="28">
        <v>7</v>
      </c>
      <c r="B44" s="65">
        <f>FV((1+'מחשבון חסכון לילדים'!$G$1)^(1/12)-1,12,'מחשבון חסכון לילדים'!$B$34)</f>
        <v>7896.6063870565613</v>
      </c>
      <c r="C44" s="66">
        <f ca="1">C43*(1+'מחשבון חסכון לילדים'!$G$1)+B44-D44</f>
        <v>43699.264230001339</v>
      </c>
      <c r="D44" s="67">
        <f ca="1">SUMIF('מחשבון חסכון לילדים'!$B$7:$B$27,A44,'מחשבון חסכון לילדים'!$E$7:$E$25)</f>
        <v>0</v>
      </c>
    </row>
    <row r="45" spans="1:5" x14ac:dyDescent="0.25">
      <c r="A45" s="28">
        <v>8</v>
      </c>
      <c r="B45" s="65">
        <f>FV((1+'מחשבון חסכון לילדים'!$G$1)^(1/12)-1,12,'מחשבון חסכון לילדים'!$B$34)</f>
        <v>7896.6063870565613</v>
      </c>
      <c r="C45" s="66">
        <f ca="1">C44*(1+'מחשבון חסכון לילדים'!$G$1)+B45-D45</f>
        <v>53780.833828557974</v>
      </c>
      <c r="D45" s="67">
        <f ca="1">SUMIF('מחשבון חסכון לילדים'!$B$7:$B$27,A45,'מחשבון חסכון לילדים'!$E$7:$E$25)</f>
        <v>0</v>
      </c>
    </row>
    <row r="46" spans="1:5" x14ac:dyDescent="0.25">
      <c r="A46" s="28">
        <v>9</v>
      </c>
      <c r="B46" s="65">
        <f>FV((1+'מחשבון חסכון לילדים'!$G$1)^(1/12)-1,12,'מחשבון חסכון לילדים'!$B$34)</f>
        <v>7896.6063870565613</v>
      </c>
      <c r="C46" s="66">
        <f ca="1">C45*(1+'מחשבון חסכון לילדים'!$G$1)+B46-D46</f>
        <v>64366.481907042435</v>
      </c>
      <c r="D46" s="67">
        <f ca="1">SUMIF('מחשבון חסכון לילדים'!$B$7:$B$27,A46,'מחשבון חסכון לילדים'!$E$7:$E$25)</f>
        <v>0</v>
      </c>
    </row>
    <row r="47" spans="1:5" x14ac:dyDescent="0.25">
      <c r="A47" s="28">
        <v>10</v>
      </c>
      <c r="B47" s="65">
        <f>FV((1+'מחשבון חסכון לילדים'!$G$1)^(1/12)-1,12,'מחשבון חסכון לילדים'!$B$34)</f>
        <v>7896.6063870565613</v>
      </c>
      <c r="C47" s="66">
        <f ca="1">C46*(1+'מחשבון חסכון לילדים'!$G$1)+B47-D47</f>
        <v>75481.412389451114</v>
      </c>
      <c r="D47" s="67">
        <f ca="1">SUMIF('מחשבון חסכון לילדים'!$B$7:$B$27,A47,'מחשבון חסכון לילדים'!$E$7:$E$25)</f>
        <v>0</v>
      </c>
    </row>
    <row r="48" spans="1:5" x14ac:dyDescent="0.25">
      <c r="A48" s="28">
        <v>11</v>
      </c>
      <c r="B48" s="65">
        <f>FV((1+'מחשבון חסכון לילדים'!$G$1)^(1/12)-1,12,'מחשבון חסכון לילדים'!$B$34)</f>
        <v>7896.6063870565613</v>
      </c>
      <c r="C48" s="66">
        <f ca="1">C47*(1+'מחשבון חסכון לילדים'!$G$1)+B48-D48</f>
        <v>87152.089395980234</v>
      </c>
      <c r="D48" s="67">
        <f ca="1">SUMIF('מחשבון חסכון לילדים'!$B$7:$B$27,A48,'מחשבון חסכון לילדים'!$E$7:$E$25)</f>
        <v>0</v>
      </c>
    </row>
    <row r="49" spans="1:4" x14ac:dyDescent="0.25">
      <c r="A49" s="28">
        <v>12</v>
      </c>
      <c r="B49" s="65">
        <f>FV((1+'מחשבון חסכון לילדים'!$G$1)^(1/12)-1,12,'מחשבון חסכון לילדים'!$B$34)</f>
        <v>7896.6063870565613</v>
      </c>
      <c r="C49" s="66">
        <f ca="1">C48*(1+'מחשבון חסכון לילדים'!$G$1)+B49-D49</f>
        <v>99406.300252835805</v>
      </c>
      <c r="D49" s="67">
        <f ca="1">SUMIF('מחשבון חסכון לילדים'!$B$7:$B$27,A49,'מחשבון חסכון לילדים'!$E$7:$E$25)</f>
        <v>0</v>
      </c>
    </row>
    <row r="50" spans="1:4" x14ac:dyDescent="0.25">
      <c r="A50" s="28">
        <v>13</v>
      </c>
      <c r="B50" s="65"/>
      <c r="C50" s="66">
        <f ca="1">C49*(1+'מחשבון חסכון לילדים'!$G$1)+B50-D50</f>
        <v>104376.61526547759</v>
      </c>
      <c r="D50" s="67">
        <f ca="1">SUMIF('מחשבון חסכון לילדים'!$B$7:$B$27,A50,'מחשבון חסכון לילדים'!$E$7:$E$25)</f>
        <v>0</v>
      </c>
    </row>
    <row r="51" spans="1:4" x14ac:dyDescent="0.25">
      <c r="A51" s="28">
        <v>14</v>
      </c>
      <c r="B51" s="65"/>
      <c r="C51" s="66">
        <f ca="1">C50*(1+'מחשבון חסכון לילדים'!$G$1)+B51-D51</f>
        <v>109595.44602875148</v>
      </c>
      <c r="D51" s="67">
        <f ca="1">SUMIF('מחשבון חסכון לילדים'!$B$7:$B$27,A51,'מחשבון חסכון לילדים'!$E$7:$E$25)</f>
        <v>0</v>
      </c>
    </row>
    <row r="52" spans="1:4" x14ac:dyDescent="0.25">
      <c r="A52" s="28">
        <v>15</v>
      </c>
      <c r="B52" s="65"/>
      <c r="C52" s="66">
        <f ca="1">C51*(1+'מחשבון חסכון לילדים'!$G$1)+B52-D52</f>
        <v>100075.21833018906</v>
      </c>
      <c r="D52" s="67">
        <f ca="1">SUMIF('מחשבון חסכון לילדים'!$B$7:$B$27,A52,'מחשבון חסכון לילדים'!$E$7:$E$25)</f>
        <v>15000</v>
      </c>
    </row>
    <row r="53" spans="1:4" x14ac:dyDescent="0.25">
      <c r="A53" s="28">
        <v>16</v>
      </c>
      <c r="B53" s="65"/>
      <c r="C53" s="66">
        <f ca="1">C52*(1+'מחשבון חסכון לילדים'!$G$1)+B53-D53</f>
        <v>92078.979246698524</v>
      </c>
      <c r="D53" s="67">
        <f ca="1">SUMIF('מחשבון חסכון לילדים'!$B$7:$B$27,A53,'מחשבון חסכון לילדים'!$E$7:$E$25)</f>
        <v>13000</v>
      </c>
    </row>
    <row r="54" spans="1:4" x14ac:dyDescent="0.25">
      <c r="A54" s="28">
        <v>17</v>
      </c>
      <c r="B54" s="65"/>
      <c r="C54" s="66">
        <f ca="1">C53*(1+'מחשבון חסכון לילדים'!$G$1)+B54-D54</f>
        <v>96682.92820903346</v>
      </c>
      <c r="D54" s="67">
        <f ca="1">SUMIF('מחשבון חסכון לילדים'!$B$7:$B$27,A54,'מחשבון חסכון לילדים'!$E$7:$E$25)</f>
        <v>0</v>
      </c>
    </row>
    <row r="55" spans="1:4" x14ac:dyDescent="0.25">
      <c r="A55" s="28">
        <v>18</v>
      </c>
      <c r="B55" s="65"/>
      <c r="C55" s="66">
        <f ca="1">C54*(1+'מחשבון חסכון לילדים'!$G$1)+B55-D55</f>
        <v>101517.07461948514</v>
      </c>
      <c r="D55" s="67">
        <f ca="1">SUMIF('מחשבון חסכון לילדים'!$B$7:$B$27,A55,'מחשבון חסכון לילדים'!$E$7:$E$25)</f>
        <v>0</v>
      </c>
    </row>
    <row r="56" spans="1:4" x14ac:dyDescent="0.25">
      <c r="A56" s="28">
        <v>19</v>
      </c>
      <c r="B56" s="65"/>
      <c r="C56" s="66">
        <f ca="1">C55*(1+'מחשבון חסכון לילדים'!$G$1)+B56-D56</f>
        <v>6592.9283504594059</v>
      </c>
      <c r="D56" s="67">
        <f ca="1">SUMIF('מחשבון חסכון לילדים'!$B$7:$B$27,A56,'מחשבון חסכון לילדים'!$E$7:$E$25)</f>
        <v>100000</v>
      </c>
    </row>
    <row r="57" spans="1:4" x14ac:dyDescent="0.25">
      <c r="A57" s="28">
        <v>20</v>
      </c>
      <c r="B57" s="65"/>
      <c r="C57" s="66"/>
      <c r="D57" s="67">
        <f ca="1">SUMIF('מחשבון חסכון לילדים'!$B$7:$B$27,A57,'מחשבון חסכון לילדים'!$E$7:$E$25)</f>
        <v>0</v>
      </c>
    </row>
    <row r="58" spans="1:4" x14ac:dyDescent="0.25">
      <c r="A58" s="28">
        <v>21</v>
      </c>
      <c r="B58" s="65"/>
      <c r="C58" s="66"/>
      <c r="D58" s="67">
        <f ca="1">SUMIF('מחשבון חסכון לילדים'!$B$7:$B$27,A58,'מחשבון חסכון לילדים'!$E$7:$E$25)</f>
        <v>0</v>
      </c>
    </row>
    <row r="59" spans="1:4" x14ac:dyDescent="0.25">
      <c r="A59" s="28">
        <v>22</v>
      </c>
      <c r="B59" s="65"/>
      <c r="C59" s="66"/>
      <c r="D59" s="67">
        <f ca="1">SUMIF('מחשבון חסכון לילדים'!$B$7:$B$27,A59,'מחשבון חסכון לילדים'!$E$7:$E$25)</f>
        <v>0</v>
      </c>
    </row>
    <row r="60" spans="1:4" x14ac:dyDescent="0.25">
      <c r="A60" s="28">
        <v>23</v>
      </c>
      <c r="B60" s="65"/>
      <c r="C60" s="66"/>
      <c r="D60" s="67">
        <f ca="1">SUMIF('מחשבון חסכון לילדים'!$B$7:$B$27,A60,'מחשבון חסכון לילדים'!$E$7:$E$25)</f>
        <v>0</v>
      </c>
    </row>
    <row r="61" spans="1:4" x14ac:dyDescent="0.25">
      <c r="A61" s="28">
        <v>24</v>
      </c>
      <c r="B61" s="65"/>
      <c r="C61" s="66"/>
      <c r="D61" s="67">
        <f ca="1">SUMIF('מחשבון חסכון לילדים'!$B$7:$B$27,A61,'מחשבון חסכון לילדים'!$E$7:$E$25)</f>
        <v>0</v>
      </c>
    </row>
    <row r="62" spans="1:4" x14ac:dyDescent="0.25">
      <c r="A62" s="28">
        <v>25</v>
      </c>
      <c r="B62" s="65"/>
      <c r="C62" s="66"/>
      <c r="D62" s="67">
        <f ca="1">SUMIF('מחשבון חסכון לילדים'!$B$7:$B$27,A62,'מחשבון חסכון לילדים'!$E$7:$E$25)</f>
        <v>0</v>
      </c>
    </row>
    <row r="63" spans="1:4" x14ac:dyDescent="0.25">
      <c r="A63" s="28">
        <v>26</v>
      </c>
      <c r="B63" s="65"/>
      <c r="C63" s="66"/>
      <c r="D63" s="67">
        <f ca="1">SUMIF('מחשבון חסכון לילדים'!$B$7:$B$27,A63,'מחשבון חסכון לילדים'!$E$7:$E$25)</f>
        <v>0</v>
      </c>
    </row>
    <row r="64" spans="1:4" x14ac:dyDescent="0.25">
      <c r="A64" s="28">
        <v>27</v>
      </c>
      <c r="B64" s="65"/>
      <c r="C64" s="66"/>
      <c r="D64" s="67">
        <f ca="1">SUMIF('מחשבון חסכון לילדים'!$B$7:$B$27,A64,'מחשבון חסכון לילדים'!$E$7:$E$25)</f>
        <v>0</v>
      </c>
    </row>
    <row r="65" spans="1:4" x14ac:dyDescent="0.25">
      <c r="A65" s="28">
        <v>28</v>
      </c>
      <c r="B65" s="65"/>
      <c r="C65" s="66"/>
      <c r="D65" s="67">
        <f ca="1">SUMIF('מחשבון חסכון לילדים'!$B$7:$B$27,A65,'מחשבון חסכון לילדים'!$E$7:$E$25)</f>
        <v>0</v>
      </c>
    </row>
    <row r="66" spans="1:4" x14ac:dyDescent="0.25">
      <c r="A66" s="28">
        <v>29</v>
      </c>
      <c r="B66" s="65"/>
      <c r="C66" s="66"/>
      <c r="D66" s="67">
        <f ca="1">SUMIF('מחשבון חסכון לילדים'!$B$7:$B$27,A66,'מחשבון חסכון לילדים'!$E$7:$E$25)</f>
        <v>0</v>
      </c>
    </row>
    <row r="67" spans="1:4" x14ac:dyDescent="0.25">
      <c r="A67" s="28">
        <v>30</v>
      </c>
      <c r="B67" s="65"/>
      <c r="C67" s="66"/>
      <c r="D67" s="67">
        <f ca="1">SUMIF('מחשבון חסכון לילדים'!$B$7:$B$27,A67,'מחשבון חסכון לילדים'!$E$7:$E$25)</f>
        <v>0</v>
      </c>
    </row>
    <row r="68" spans="1:4" x14ac:dyDescent="0.25">
      <c r="A68" s="28">
        <v>31</v>
      </c>
      <c r="B68" s="65"/>
      <c r="C68" s="66"/>
      <c r="D68" s="67">
        <f ca="1">SUMIF('מחשבון חסכון לילדים'!$B$7:$B$27,A68,'מחשבון חסכון לילדים'!$E$7:$E$25)</f>
        <v>0</v>
      </c>
    </row>
    <row r="69" spans="1:4" x14ac:dyDescent="0.25">
      <c r="A69" s="28">
        <v>32</v>
      </c>
      <c r="B69" s="65"/>
      <c r="C69" s="66"/>
      <c r="D69" s="67">
        <f ca="1">SUMIF('מחשבון חסכון לילדים'!$B$7:$B$27,A69,'מחשבון חסכון לילדים'!$E$7:$E$25)</f>
        <v>0</v>
      </c>
    </row>
    <row r="70" spans="1:4" x14ac:dyDescent="0.25">
      <c r="A70" s="28">
        <v>33</v>
      </c>
      <c r="B70" s="65"/>
      <c r="C70" s="66"/>
      <c r="D70" s="67">
        <f ca="1">SUMIF('מחשבון חסכון לילדים'!$B$7:$B$27,A70,'מחשבון חסכון לילדים'!$E$7:$E$25)</f>
        <v>0</v>
      </c>
    </row>
    <row r="71" spans="1:4" x14ac:dyDescent="0.25">
      <c r="A71" s="28">
        <v>34</v>
      </c>
      <c r="B71" s="65"/>
      <c r="C71" s="66"/>
      <c r="D71" s="67">
        <f ca="1">SUMIF('מחשבון חסכון לילדים'!$B$7:$B$27,A71,'מחשבון חסכון לילדים'!$E$7:$E$25)</f>
        <v>0</v>
      </c>
    </row>
    <row r="72" spans="1:4" x14ac:dyDescent="0.25">
      <c r="A72" s="28">
        <v>35</v>
      </c>
      <c r="B72" s="65"/>
      <c r="C72" s="66"/>
      <c r="D72" s="67">
        <f ca="1">SUMIF('מחשבון חסכון לילדים'!$B$7:$B$27,A72,'מחשבון חסכון לילדים'!$E$7:$E$25)</f>
        <v>0</v>
      </c>
    </row>
    <row r="73" spans="1:4" x14ac:dyDescent="0.25">
      <c r="B73" s="2"/>
    </row>
    <row r="74" spans="1:4" x14ac:dyDescent="0.25">
      <c r="B74" s="2"/>
    </row>
    <row r="75" spans="1:4" x14ac:dyDescent="0.25">
      <c r="B75" s="2"/>
    </row>
    <row r="76" spans="1:4" x14ac:dyDescent="0.25">
      <c r="B76" s="2"/>
    </row>
    <row r="77" spans="1:4" x14ac:dyDescent="0.25">
      <c r="B77" s="2"/>
    </row>
    <row r="78" spans="1:4" x14ac:dyDescent="0.25">
      <c r="B78" s="2"/>
    </row>
    <row r="79" spans="1:4" x14ac:dyDescent="0.25">
      <c r="B79" s="2"/>
    </row>
    <row r="80" spans="1:4" x14ac:dyDescent="0.25">
      <c r="B80" s="2"/>
    </row>
    <row r="81" spans="2:2" x14ac:dyDescent="0.25">
      <c r="B81" s="2"/>
    </row>
    <row r="82" spans="2:2" x14ac:dyDescent="0.25">
      <c r="B82" s="2"/>
    </row>
    <row r="83" spans="2:2" x14ac:dyDescent="0.25">
      <c r="B83" s="2"/>
    </row>
    <row r="84" spans="2:2" x14ac:dyDescent="0.25">
      <c r="B84" s="2"/>
    </row>
    <row r="85" spans="2:2" x14ac:dyDescent="0.25">
      <c r="B85" s="2"/>
    </row>
    <row r="86" spans="2:2" x14ac:dyDescent="0.25">
      <c r="B86" s="2"/>
    </row>
    <row r="87" spans="2:2" x14ac:dyDescent="0.25">
      <c r="B87" s="2"/>
    </row>
    <row r="88" spans="2:2" x14ac:dyDescent="0.25">
      <c r="B88" s="2"/>
    </row>
    <row r="89" spans="2:2" x14ac:dyDescent="0.25">
      <c r="B89" s="2"/>
    </row>
    <row r="90" spans="2:2" x14ac:dyDescent="0.25">
      <c r="B90" s="2"/>
    </row>
    <row r="91" spans="2:2" x14ac:dyDescent="0.25">
      <c r="B91" s="2"/>
    </row>
    <row r="92" spans="2:2" x14ac:dyDescent="0.25">
      <c r="B92" s="2"/>
    </row>
    <row r="93" spans="2:2" x14ac:dyDescent="0.25">
      <c r="B93" s="2"/>
    </row>
    <row r="94" spans="2:2" x14ac:dyDescent="0.25">
      <c r="B94" s="2"/>
    </row>
    <row r="95" spans="2:2" x14ac:dyDescent="0.25">
      <c r="B95" s="2"/>
    </row>
    <row r="96" spans="2:2" x14ac:dyDescent="0.25">
      <c r="B96" s="2"/>
    </row>
    <row r="97" spans="2:2" x14ac:dyDescent="0.25">
      <c r="B97" s="2"/>
    </row>
    <row r="98" spans="2:2" x14ac:dyDescent="0.25">
      <c r="B98" s="2"/>
    </row>
    <row r="99" spans="2:2" x14ac:dyDescent="0.25">
      <c r="B99" s="2"/>
    </row>
    <row r="100" spans="2:2" x14ac:dyDescent="0.25">
      <c r="B100" s="2"/>
    </row>
    <row r="101" spans="2:2" x14ac:dyDescent="0.25">
      <c r="B101" s="2"/>
    </row>
    <row r="102" spans="2:2" x14ac:dyDescent="0.25">
      <c r="B102" s="2"/>
    </row>
    <row r="103" spans="2:2" x14ac:dyDescent="0.25">
      <c r="B103" s="2"/>
    </row>
    <row r="104" spans="2:2" x14ac:dyDescent="0.25">
      <c r="B104" s="2"/>
    </row>
    <row r="105" spans="2:2" x14ac:dyDescent="0.25">
      <c r="B105" s="2"/>
    </row>
    <row r="106" spans="2:2" x14ac:dyDescent="0.25">
      <c r="B106" s="2"/>
    </row>
    <row r="107" spans="2:2" x14ac:dyDescent="0.25">
      <c r="B107" s="2"/>
    </row>
    <row r="108" spans="2:2" x14ac:dyDescent="0.25">
      <c r="B108" s="2"/>
    </row>
    <row r="109" spans="2:2" x14ac:dyDescent="0.25">
      <c r="B109" s="2"/>
    </row>
    <row r="110" spans="2:2" x14ac:dyDescent="0.25">
      <c r="B110" s="2"/>
    </row>
    <row r="111" spans="2:2" x14ac:dyDescent="0.25">
      <c r="B111" s="2"/>
    </row>
    <row r="112" spans="2:2" x14ac:dyDescent="0.25">
      <c r="B112" s="2"/>
    </row>
    <row r="113" spans="2:2" x14ac:dyDescent="0.25">
      <c r="B113" s="2"/>
    </row>
    <row r="114" spans="2:2" x14ac:dyDescent="0.25">
      <c r="B114" s="2"/>
    </row>
    <row r="115" spans="2:2" x14ac:dyDescent="0.25">
      <c r="B115" s="2"/>
    </row>
    <row r="116" spans="2:2" x14ac:dyDescent="0.25">
      <c r="B116" s="2"/>
    </row>
    <row r="117" spans="2:2" x14ac:dyDescent="0.25">
      <c r="B117" s="2"/>
    </row>
    <row r="118" spans="2:2" x14ac:dyDescent="0.25">
      <c r="B118" s="2"/>
    </row>
    <row r="119" spans="2:2" x14ac:dyDescent="0.25">
      <c r="B119" s="2"/>
    </row>
    <row r="120" spans="2:2" x14ac:dyDescent="0.25">
      <c r="B120" s="2"/>
    </row>
    <row r="121" spans="2:2" x14ac:dyDescent="0.25">
      <c r="B121" s="2"/>
    </row>
    <row r="122" spans="2:2" x14ac:dyDescent="0.25">
      <c r="B122" s="2"/>
    </row>
    <row r="123" spans="2:2" x14ac:dyDescent="0.25">
      <c r="B123" s="2"/>
    </row>
    <row r="124" spans="2:2" x14ac:dyDescent="0.25">
      <c r="B124" s="2"/>
    </row>
    <row r="125" spans="2:2" x14ac:dyDescent="0.25">
      <c r="B125" s="2"/>
    </row>
    <row r="126" spans="2:2" x14ac:dyDescent="0.25">
      <c r="B126" s="2"/>
    </row>
    <row r="127" spans="2:2" x14ac:dyDescent="0.25">
      <c r="B127" s="2"/>
    </row>
    <row r="128" spans="2:2" x14ac:dyDescent="0.25">
      <c r="B128" s="2"/>
    </row>
    <row r="129" spans="2:2" x14ac:dyDescent="0.25">
      <c r="B129" s="2"/>
    </row>
    <row r="130" spans="2:2" x14ac:dyDescent="0.25">
      <c r="B130" s="2"/>
    </row>
    <row r="131" spans="2:2" x14ac:dyDescent="0.25">
      <c r="B131" s="2"/>
    </row>
    <row r="132" spans="2:2" x14ac:dyDescent="0.25">
      <c r="B132" s="2"/>
    </row>
    <row r="133" spans="2:2" x14ac:dyDescent="0.25">
      <c r="B133" s="2"/>
    </row>
    <row r="134" spans="2:2" x14ac:dyDescent="0.25">
      <c r="B134" s="2"/>
    </row>
    <row r="135" spans="2:2" x14ac:dyDescent="0.25">
      <c r="B135" s="2"/>
    </row>
    <row r="136" spans="2:2" x14ac:dyDescent="0.25">
      <c r="B136" s="2"/>
    </row>
    <row r="137" spans="2:2" x14ac:dyDescent="0.25">
      <c r="B137" s="2"/>
    </row>
    <row r="138" spans="2:2" x14ac:dyDescent="0.25">
      <c r="B138" s="2"/>
    </row>
    <row r="139" spans="2:2" x14ac:dyDescent="0.25">
      <c r="B139" s="2"/>
    </row>
    <row r="140" spans="2:2" x14ac:dyDescent="0.25">
      <c r="B140" s="2"/>
    </row>
    <row r="141" spans="2:2" x14ac:dyDescent="0.25">
      <c r="B141" s="2"/>
    </row>
    <row r="142" spans="2:2" x14ac:dyDescent="0.25">
      <c r="B142" s="2"/>
    </row>
    <row r="143" spans="2:2" x14ac:dyDescent="0.25">
      <c r="B143" s="2"/>
    </row>
    <row r="144" spans="2:2" x14ac:dyDescent="0.25">
      <c r="B144" s="2"/>
    </row>
    <row r="145" spans="2:2" x14ac:dyDescent="0.25">
      <c r="B145" s="2"/>
    </row>
    <row r="146" spans="2:2" x14ac:dyDescent="0.25">
      <c r="B146" s="2"/>
    </row>
    <row r="147" spans="2:2" x14ac:dyDescent="0.25">
      <c r="B147" s="2"/>
    </row>
    <row r="148" spans="2:2" x14ac:dyDescent="0.25">
      <c r="B148" s="2"/>
    </row>
    <row r="149" spans="2:2" x14ac:dyDescent="0.25">
      <c r="B149" s="2"/>
    </row>
    <row r="150" spans="2:2" x14ac:dyDescent="0.25">
      <c r="B150" s="2"/>
    </row>
    <row r="151" spans="2:2" x14ac:dyDescent="0.25">
      <c r="B151" s="2"/>
    </row>
    <row r="152" spans="2:2" x14ac:dyDescent="0.25">
      <c r="B152" s="2"/>
    </row>
    <row r="153" spans="2:2" x14ac:dyDescent="0.25">
      <c r="B153" s="2"/>
    </row>
    <row r="154" spans="2:2" x14ac:dyDescent="0.25">
      <c r="B154" s="2"/>
    </row>
    <row r="155" spans="2:2" x14ac:dyDescent="0.25">
      <c r="B155" s="2"/>
    </row>
    <row r="156" spans="2:2" x14ac:dyDescent="0.25">
      <c r="B156" s="2"/>
    </row>
    <row r="157" spans="2:2" x14ac:dyDescent="0.25">
      <c r="B157" s="2"/>
    </row>
    <row r="158" spans="2:2" x14ac:dyDescent="0.25">
      <c r="B158" s="2"/>
    </row>
    <row r="159" spans="2:2" x14ac:dyDescent="0.25">
      <c r="B159" s="2"/>
    </row>
    <row r="160" spans="2:2" x14ac:dyDescent="0.25">
      <c r="B160" s="2"/>
    </row>
    <row r="161" spans="2:2" x14ac:dyDescent="0.25">
      <c r="B161" s="2"/>
    </row>
    <row r="162" spans="2:2" x14ac:dyDescent="0.25">
      <c r="B162" s="2"/>
    </row>
    <row r="163" spans="2:2" x14ac:dyDescent="0.25">
      <c r="B163" s="2"/>
    </row>
    <row r="164" spans="2:2" x14ac:dyDescent="0.25">
      <c r="B164" s="2"/>
    </row>
    <row r="165" spans="2:2" x14ac:dyDescent="0.25">
      <c r="B165" s="2"/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174" spans="2:2" x14ac:dyDescent="0.25">
      <c r="B174" s="2"/>
    </row>
    <row r="175" spans="2:2" x14ac:dyDescent="0.25">
      <c r="B175" s="2"/>
    </row>
    <row r="176" spans="2:2" x14ac:dyDescent="0.25">
      <c r="B176" s="2"/>
    </row>
    <row r="177" spans="2:2" x14ac:dyDescent="0.25">
      <c r="B177" s="2"/>
    </row>
    <row r="178" spans="2:2" x14ac:dyDescent="0.25">
      <c r="B178" s="2"/>
    </row>
    <row r="179" spans="2:2" x14ac:dyDescent="0.25">
      <c r="B179" s="2"/>
    </row>
    <row r="180" spans="2:2" x14ac:dyDescent="0.25">
      <c r="B180" s="2"/>
    </row>
    <row r="181" spans="2:2" x14ac:dyDescent="0.25">
      <c r="B181" s="2"/>
    </row>
    <row r="182" spans="2:2" x14ac:dyDescent="0.25">
      <c r="B182" s="2"/>
    </row>
    <row r="183" spans="2:2" x14ac:dyDescent="0.25">
      <c r="B183" s="2"/>
    </row>
    <row r="184" spans="2:2" x14ac:dyDescent="0.25">
      <c r="B184" s="2"/>
    </row>
    <row r="185" spans="2:2" x14ac:dyDescent="0.25">
      <c r="B185" s="2"/>
    </row>
    <row r="186" spans="2:2" x14ac:dyDescent="0.25">
      <c r="B186" s="2"/>
    </row>
    <row r="187" spans="2:2" x14ac:dyDescent="0.25">
      <c r="B187" s="2"/>
    </row>
    <row r="188" spans="2:2" x14ac:dyDescent="0.25">
      <c r="B188" s="2"/>
    </row>
    <row r="189" spans="2:2" x14ac:dyDescent="0.25">
      <c r="B189" s="2"/>
    </row>
    <row r="190" spans="2:2" x14ac:dyDescent="0.25">
      <c r="B190" s="2"/>
    </row>
    <row r="191" spans="2:2" x14ac:dyDescent="0.25">
      <c r="B191" s="2"/>
    </row>
    <row r="192" spans="2:2" x14ac:dyDescent="0.25">
      <c r="B192" s="2"/>
    </row>
    <row r="193" spans="2:2" x14ac:dyDescent="0.25">
      <c r="B193" s="2"/>
    </row>
    <row r="194" spans="2:2" x14ac:dyDescent="0.25">
      <c r="B194" s="2"/>
    </row>
    <row r="195" spans="2:2" x14ac:dyDescent="0.25">
      <c r="B195" s="2"/>
    </row>
    <row r="196" spans="2:2" x14ac:dyDescent="0.25">
      <c r="B196" s="2"/>
    </row>
    <row r="197" spans="2:2" x14ac:dyDescent="0.25">
      <c r="B197" s="2"/>
    </row>
    <row r="198" spans="2:2" x14ac:dyDescent="0.25">
      <c r="B198" s="2"/>
    </row>
    <row r="199" spans="2:2" x14ac:dyDescent="0.25">
      <c r="B199" s="2"/>
    </row>
    <row r="200" spans="2:2" x14ac:dyDescent="0.25">
      <c r="B200" s="2"/>
    </row>
    <row r="201" spans="2:2" x14ac:dyDescent="0.25">
      <c r="B201" s="2"/>
    </row>
    <row r="202" spans="2:2" x14ac:dyDescent="0.25">
      <c r="B202" s="2"/>
    </row>
    <row r="203" spans="2:2" x14ac:dyDescent="0.25">
      <c r="B203" s="2"/>
    </row>
    <row r="204" spans="2:2" x14ac:dyDescent="0.25">
      <c r="B204" s="2"/>
    </row>
    <row r="205" spans="2:2" x14ac:dyDescent="0.25">
      <c r="B205" s="2"/>
    </row>
    <row r="206" spans="2:2" x14ac:dyDescent="0.25">
      <c r="B206" s="2"/>
    </row>
    <row r="207" spans="2:2" x14ac:dyDescent="0.25">
      <c r="B207" s="2"/>
    </row>
    <row r="208" spans="2:2" x14ac:dyDescent="0.25">
      <c r="B208" s="2"/>
    </row>
    <row r="209" spans="2:2" x14ac:dyDescent="0.25">
      <c r="B209" s="2"/>
    </row>
    <row r="210" spans="2:2" x14ac:dyDescent="0.25">
      <c r="B210" s="2"/>
    </row>
    <row r="211" spans="2:2" x14ac:dyDescent="0.25">
      <c r="B211" s="2"/>
    </row>
    <row r="212" spans="2:2" x14ac:dyDescent="0.25">
      <c r="B212" s="2"/>
    </row>
    <row r="213" spans="2:2" x14ac:dyDescent="0.25">
      <c r="B213" s="2"/>
    </row>
    <row r="214" spans="2:2" x14ac:dyDescent="0.25">
      <c r="B214" s="2"/>
    </row>
    <row r="215" spans="2:2" x14ac:dyDescent="0.25">
      <c r="B215" s="2"/>
    </row>
    <row r="216" spans="2:2" x14ac:dyDescent="0.25">
      <c r="B216" s="2"/>
    </row>
    <row r="217" spans="2:2" x14ac:dyDescent="0.25">
      <c r="B217" s="2"/>
    </row>
    <row r="218" spans="2:2" x14ac:dyDescent="0.25">
      <c r="B218" s="2"/>
    </row>
    <row r="219" spans="2:2" x14ac:dyDescent="0.25">
      <c r="B219" s="2"/>
    </row>
    <row r="220" spans="2:2" x14ac:dyDescent="0.25">
      <c r="B220" s="2"/>
    </row>
    <row r="221" spans="2:2" x14ac:dyDescent="0.25">
      <c r="B221" s="2"/>
    </row>
    <row r="222" spans="2:2" x14ac:dyDescent="0.25">
      <c r="B222" s="2"/>
    </row>
    <row r="223" spans="2:2" x14ac:dyDescent="0.25">
      <c r="B223" s="2"/>
    </row>
    <row r="224" spans="2:2" x14ac:dyDescent="0.25">
      <c r="B224" s="2"/>
    </row>
    <row r="225" spans="2:2" x14ac:dyDescent="0.25">
      <c r="B225" s="2"/>
    </row>
    <row r="226" spans="2:2" x14ac:dyDescent="0.25">
      <c r="B226" s="2"/>
    </row>
    <row r="227" spans="2:2" x14ac:dyDescent="0.25">
      <c r="B227" s="2"/>
    </row>
    <row r="228" spans="2:2" x14ac:dyDescent="0.25">
      <c r="B228" s="2"/>
    </row>
    <row r="229" spans="2:2" x14ac:dyDescent="0.25">
      <c r="B229" s="2"/>
    </row>
    <row r="230" spans="2:2" x14ac:dyDescent="0.25">
      <c r="B230" s="2"/>
    </row>
    <row r="231" spans="2:2" x14ac:dyDescent="0.25">
      <c r="B231" s="2"/>
    </row>
    <row r="232" spans="2:2" x14ac:dyDescent="0.25">
      <c r="B232" s="2"/>
    </row>
    <row r="233" spans="2:2" x14ac:dyDescent="0.25">
      <c r="B233" s="2"/>
    </row>
    <row r="234" spans="2:2" x14ac:dyDescent="0.25">
      <c r="B234" s="2"/>
    </row>
    <row r="235" spans="2:2" x14ac:dyDescent="0.25">
      <c r="B235" s="2"/>
    </row>
    <row r="236" spans="2:2" x14ac:dyDescent="0.25">
      <c r="B236" s="2"/>
    </row>
    <row r="237" spans="2:2" x14ac:dyDescent="0.25">
      <c r="B237" s="2"/>
    </row>
    <row r="238" spans="2:2" x14ac:dyDescent="0.25">
      <c r="B238" s="2"/>
    </row>
    <row r="239" spans="2:2" x14ac:dyDescent="0.25">
      <c r="B239" s="2"/>
    </row>
    <row r="240" spans="2:2" x14ac:dyDescent="0.25">
      <c r="B240" s="2"/>
    </row>
    <row r="241" spans="2:2" x14ac:dyDescent="0.25">
      <c r="B241" s="2"/>
    </row>
    <row r="242" spans="2:2" x14ac:dyDescent="0.25">
      <c r="B242" s="2"/>
    </row>
    <row r="243" spans="2:2" x14ac:dyDescent="0.25">
      <c r="B243" s="2"/>
    </row>
    <row r="244" spans="2:2" x14ac:dyDescent="0.25">
      <c r="B244" s="2"/>
    </row>
    <row r="245" spans="2:2" x14ac:dyDescent="0.25">
      <c r="B245" s="2"/>
    </row>
    <row r="246" spans="2:2" x14ac:dyDescent="0.25">
      <c r="B246" s="2"/>
    </row>
    <row r="247" spans="2:2" x14ac:dyDescent="0.25">
      <c r="B247" s="2"/>
    </row>
    <row r="248" spans="2:2" x14ac:dyDescent="0.25">
      <c r="B248" s="2"/>
    </row>
    <row r="249" spans="2:2" x14ac:dyDescent="0.25">
      <c r="B249" s="2"/>
    </row>
    <row r="250" spans="2:2" x14ac:dyDescent="0.25">
      <c r="B250" s="2"/>
    </row>
    <row r="251" spans="2:2" x14ac:dyDescent="0.25">
      <c r="B251" s="2"/>
    </row>
    <row r="252" spans="2:2" x14ac:dyDescent="0.25">
      <c r="B252" s="2"/>
    </row>
    <row r="253" spans="2:2" x14ac:dyDescent="0.25">
      <c r="B253" s="2"/>
    </row>
    <row r="254" spans="2:2" x14ac:dyDescent="0.25">
      <c r="B254" s="2"/>
    </row>
    <row r="255" spans="2:2" x14ac:dyDescent="0.25">
      <c r="B255" s="2"/>
    </row>
    <row r="256" spans="2:2" x14ac:dyDescent="0.25">
      <c r="B256" s="2"/>
    </row>
    <row r="257" spans="2:2" x14ac:dyDescent="0.25">
      <c r="B257" s="2"/>
    </row>
    <row r="258" spans="2:2" x14ac:dyDescent="0.25">
      <c r="B258" s="2"/>
    </row>
    <row r="259" spans="2:2" x14ac:dyDescent="0.25">
      <c r="B259" s="2"/>
    </row>
    <row r="260" spans="2:2" x14ac:dyDescent="0.25">
      <c r="B260" s="2"/>
    </row>
    <row r="261" spans="2:2" x14ac:dyDescent="0.25">
      <c r="B261" s="2"/>
    </row>
    <row r="262" spans="2:2" x14ac:dyDescent="0.25">
      <c r="B262" s="2"/>
    </row>
    <row r="263" spans="2:2" x14ac:dyDescent="0.25">
      <c r="B263" s="2"/>
    </row>
    <row r="264" spans="2:2" x14ac:dyDescent="0.25">
      <c r="B264" s="2"/>
    </row>
    <row r="265" spans="2:2" x14ac:dyDescent="0.25">
      <c r="B265" s="2"/>
    </row>
    <row r="266" spans="2:2" x14ac:dyDescent="0.25">
      <c r="B266" s="2"/>
    </row>
    <row r="267" spans="2:2" x14ac:dyDescent="0.25">
      <c r="B267" s="2"/>
    </row>
    <row r="268" spans="2:2" x14ac:dyDescent="0.25">
      <c r="B268" s="2"/>
    </row>
    <row r="269" spans="2:2" x14ac:dyDescent="0.25">
      <c r="B269" s="2"/>
    </row>
    <row r="270" spans="2:2" x14ac:dyDescent="0.25">
      <c r="B270" s="2"/>
    </row>
    <row r="271" spans="2:2" x14ac:dyDescent="0.25">
      <c r="B271" s="2"/>
    </row>
    <row r="272" spans="2:2" x14ac:dyDescent="0.25">
      <c r="B272" s="2"/>
    </row>
    <row r="273" spans="2:2" x14ac:dyDescent="0.25">
      <c r="B273" s="2"/>
    </row>
    <row r="274" spans="2:2" x14ac:dyDescent="0.25">
      <c r="B274" s="2"/>
    </row>
    <row r="275" spans="2:2" x14ac:dyDescent="0.25">
      <c r="B275" s="2"/>
    </row>
    <row r="276" spans="2:2" x14ac:dyDescent="0.25">
      <c r="B276" s="2"/>
    </row>
    <row r="277" spans="2:2" x14ac:dyDescent="0.25">
      <c r="B277" s="2"/>
    </row>
    <row r="278" spans="2:2" x14ac:dyDescent="0.25">
      <c r="B278" s="2"/>
    </row>
    <row r="279" spans="2:2" x14ac:dyDescent="0.25">
      <c r="B279" s="2"/>
    </row>
    <row r="280" spans="2:2" x14ac:dyDescent="0.25">
      <c r="B280" s="2"/>
    </row>
    <row r="281" spans="2:2" x14ac:dyDescent="0.25">
      <c r="B281" s="2"/>
    </row>
    <row r="282" spans="2:2" x14ac:dyDescent="0.25">
      <c r="B282" s="2"/>
    </row>
    <row r="283" spans="2:2" x14ac:dyDescent="0.25">
      <c r="B283" s="2"/>
    </row>
    <row r="284" spans="2:2" x14ac:dyDescent="0.25">
      <c r="B284" s="2"/>
    </row>
    <row r="285" spans="2:2" x14ac:dyDescent="0.25">
      <c r="B285" s="2"/>
    </row>
    <row r="286" spans="2:2" x14ac:dyDescent="0.25">
      <c r="B286" s="2"/>
    </row>
    <row r="287" spans="2:2" x14ac:dyDescent="0.25">
      <c r="B287" s="2"/>
    </row>
    <row r="288" spans="2:2" x14ac:dyDescent="0.25">
      <c r="B288" s="2"/>
    </row>
    <row r="289" spans="2:2" x14ac:dyDescent="0.25">
      <c r="B289" s="2"/>
    </row>
    <row r="290" spans="2:2" x14ac:dyDescent="0.25">
      <c r="B290" s="2"/>
    </row>
    <row r="291" spans="2:2" x14ac:dyDescent="0.25">
      <c r="B291" s="2"/>
    </row>
    <row r="292" spans="2:2" x14ac:dyDescent="0.25">
      <c r="B292" s="2"/>
    </row>
    <row r="293" spans="2:2" x14ac:dyDescent="0.25">
      <c r="B293" s="2"/>
    </row>
    <row r="294" spans="2:2" x14ac:dyDescent="0.25">
      <c r="B294" s="2"/>
    </row>
    <row r="295" spans="2:2" x14ac:dyDescent="0.25">
      <c r="B295" s="2"/>
    </row>
    <row r="296" spans="2:2" x14ac:dyDescent="0.25">
      <c r="B296" s="2"/>
    </row>
    <row r="297" spans="2:2" x14ac:dyDescent="0.25">
      <c r="B297" s="2"/>
    </row>
    <row r="298" spans="2:2" x14ac:dyDescent="0.25">
      <c r="B298" s="2"/>
    </row>
    <row r="299" spans="2:2" x14ac:dyDescent="0.25">
      <c r="B299" s="2"/>
    </row>
    <row r="300" spans="2:2" x14ac:dyDescent="0.25">
      <c r="B300" s="2"/>
    </row>
    <row r="301" spans="2:2" x14ac:dyDescent="0.25">
      <c r="B301" s="2"/>
    </row>
    <row r="302" spans="2:2" x14ac:dyDescent="0.25">
      <c r="B302" s="2"/>
    </row>
    <row r="303" spans="2:2" x14ac:dyDescent="0.25">
      <c r="B303" s="2"/>
    </row>
    <row r="304" spans="2:2" x14ac:dyDescent="0.25">
      <c r="B304" s="2"/>
    </row>
    <row r="305" spans="2:2" x14ac:dyDescent="0.25">
      <c r="B305" s="2"/>
    </row>
    <row r="306" spans="2:2" x14ac:dyDescent="0.25">
      <c r="B306" s="2"/>
    </row>
    <row r="307" spans="2:2" x14ac:dyDescent="0.25">
      <c r="B307" s="2"/>
    </row>
    <row r="308" spans="2:2" x14ac:dyDescent="0.25">
      <c r="B308" s="2"/>
    </row>
    <row r="309" spans="2:2" x14ac:dyDescent="0.25">
      <c r="B309" s="2"/>
    </row>
    <row r="310" spans="2:2" x14ac:dyDescent="0.25">
      <c r="B310" s="2"/>
    </row>
    <row r="311" spans="2:2" x14ac:dyDescent="0.25">
      <c r="B311" s="2"/>
    </row>
    <row r="312" spans="2:2" x14ac:dyDescent="0.25">
      <c r="B312" s="2"/>
    </row>
    <row r="313" spans="2:2" x14ac:dyDescent="0.25">
      <c r="B313" s="2"/>
    </row>
    <row r="314" spans="2:2" x14ac:dyDescent="0.25">
      <c r="B314" s="2"/>
    </row>
    <row r="315" spans="2:2" x14ac:dyDescent="0.25">
      <c r="B315" s="2"/>
    </row>
    <row r="316" spans="2:2" x14ac:dyDescent="0.25">
      <c r="B316" s="2"/>
    </row>
    <row r="317" spans="2:2" x14ac:dyDescent="0.25">
      <c r="B317" s="2"/>
    </row>
    <row r="318" spans="2:2" x14ac:dyDescent="0.25">
      <c r="B318" s="2"/>
    </row>
    <row r="319" spans="2:2" x14ac:dyDescent="0.25">
      <c r="B319" s="2"/>
    </row>
    <row r="320" spans="2:2" x14ac:dyDescent="0.25">
      <c r="B320" s="2"/>
    </row>
    <row r="321" spans="2:2" x14ac:dyDescent="0.25">
      <c r="B321" s="2"/>
    </row>
    <row r="322" spans="2:2" x14ac:dyDescent="0.25">
      <c r="B322" s="2"/>
    </row>
    <row r="323" spans="2:2" x14ac:dyDescent="0.25">
      <c r="B323" s="2"/>
    </row>
    <row r="324" spans="2:2" x14ac:dyDescent="0.25">
      <c r="B324" s="2"/>
    </row>
    <row r="325" spans="2:2" x14ac:dyDescent="0.25">
      <c r="B325" s="2"/>
    </row>
    <row r="326" spans="2:2" x14ac:dyDescent="0.25">
      <c r="B326" s="2"/>
    </row>
    <row r="327" spans="2:2" x14ac:dyDescent="0.25">
      <c r="B327" s="2"/>
    </row>
    <row r="328" spans="2:2" x14ac:dyDescent="0.25">
      <c r="B328" s="2"/>
    </row>
    <row r="329" spans="2:2" x14ac:dyDescent="0.25">
      <c r="B329" s="2"/>
    </row>
    <row r="330" spans="2:2" x14ac:dyDescent="0.25">
      <c r="B330" s="2"/>
    </row>
    <row r="331" spans="2:2" x14ac:dyDescent="0.25">
      <c r="B331" s="2"/>
    </row>
    <row r="332" spans="2:2" x14ac:dyDescent="0.25">
      <c r="B332" s="2"/>
    </row>
    <row r="333" spans="2:2" x14ac:dyDescent="0.25">
      <c r="B333" s="2"/>
    </row>
    <row r="334" spans="2:2" x14ac:dyDescent="0.25">
      <c r="B334" s="2"/>
    </row>
    <row r="335" spans="2:2" x14ac:dyDescent="0.25">
      <c r="B335" s="2"/>
    </row>
    <row r="336" spans="2:2" x14ac:dyDescent="0.25">
      <c r="B336" s="2"/>
    </row>
    <row r="337" spans="2:2" x14ac:dyDescent="0.25">
      <c r="B337" s="2"/>
    </row>
    <row r="338" spans="2:2" x14ac:dyDescent="0.25">
      <c r="B338" s="2"/>
    </row>
    <row r="339" spans="2:2" x14ac:dyDescent="0.25">
      <c r="B339" s="2"/>
    </row>
    <row r="340" spans="2:2" x14ac:dyDescent="0.25">
      <c r="B340" s="2"/>
    </row>
    <row r="341" spans="2:2" x14ac:dyDescent="0.25">
      <c r="B341" s="2"/>
    </row>
    <row r="342" spans="2:2" x14ac:dyDescent="0.25">
      <c r="B342" s="2"/>
    </row>
    <row r="343" spans="2:2" x14ac:dyDescent="0.25">
      <c r="B343" s="2"/>
    </row>
    <row r="344" spans="2:2" x14ac:dyDescent="0.25">
      <c r="B344" s="2"/>
    </row>
    <row r="345" spans="2:2" x14ac:dyDescent="0.25">
      <c r="B345" s="2"/>
    </row>
    <row r="346" spans="2:2" x14ac:dyDescent="0.25">
      <c r="B346" s="2"/>
    </row>
    <row r="347" spans="2:2" x14ac:dyDescent="0.25">
      <c r="B347" s="2"/>
    </row>
    <row r="348" spans="2:2" x14ac:dyDescent="0.25">
      <c r="B348" s="2"/>
    </row>
    <row r="349" spans="2:2" x14ac:dyDescent="0.25">
      <c r="B349" s="2"/>
    </row>
    <row r="350" spans="2:2" x14ac:dyDescent="0.25">
      <c r="B350" s="2"/>
    </row>
    <row r="351" spans="2:2" x14ac:dyDescent="0.25">
      <c r="B351" s="2"/>
    </row>
    <row r="352" spans="2:2" x14ac:dyDescent="0.25">
      <c r="B352" s="2"/>
    </row>
    <row r="353" spans="2:2" x14ac:dyDescent="0.25">
      <c r="B353" s="2"/>
    </row>
    <row r="354" spans="2:2" x14ac:dyDescent="0.25">
      <c r="B354" s="2"/>
    </row>
    <row r="355" spans="2:2" x14ac:dyDescent="0.25">
      <c r="B355" s="2"/>
    </row>
    <row r="356" spans="2:2" x14ac:dyDescent="0.25">
      <c r="B356" s="2"/>
    </row>
    <row r="357" spans="2:2" x14ac:dyDescent="0.25">
      <c r="B357" s="2"/>
    </row>
    <row r="358" spans="2:2" x14ac:dyDescent="0.25">
      <c r="B358" s="2"/>
    </row>
    <row r="359" spans="2:2" x14ac:dyDescent="0.25">
      <c r="B359" s="2"/>
    </row>
    <row r="360" spans="2:2" x14ac:dyDescent="0.25">
      <c r="B360" s="2"/>
    </row>
    <row r="361" spans="2:2" x14ac:dyDescent="0.25">
      <c r="B361" s="2"/>
    </row>
    <row r="362" spans="2:2" x14ac:dyDescent="0.25">
      <c r="B362" s="2"/>
    </row>
    <row r="363" spans="2:2" x14ac:dyDescent="0.25">
      <c r="B363" s="2"/>
    </row>
    <row r="364" spans="2:2" x14ac:dyDescent="0.25">
      <c r="B364" s="2"/>
    </row>
    <row r="365" spans="2:2" x14ac:dyDescent="0.25">
      <c r="B365" s="2"/>
    </row>
    <row r="366" spans="2:2" x14ac:dyDescent="0.25">
      <c r="B366" s="2"/>
    </row>
    <row r="367" spans="2:2" x14ac:dyDescent="0.25">
      <c r="B367" s="2"/>
    </row>
    <row r="368" spans="2:2" x14ac:dyDescent="0.25">
      <c r="B368" s="2"/>
    </row>
    <row r="369" spans="2:2" x14ac:dyDescent="0.25">
      <c r="B369" s="2"/>
    </row>
    <row r="370" spans="2:2" x14ac:dyDescent="0.25">
      <c r="B370" s="2"/>
    </row>
    <row r="371" spans="2:2" x14ac:dyDescent="0.25">
      <c r="B371" s="2"/>
    </row>
    <row r="372" spans="2:2" x14ac:dyDescent="0.25">
      <c r="B372" s="2"/>
    </row>
    <row r="373" spans="2:2" x14ac:dyDescent="0.25">
      <c r="B373" s="2"/>
    </row>
    <row r="374" spans="2:2" x14ac:dyDescent="0.25">
      <c r="B374" s="2"/>
    </row>
    <row r="375" spans="2:2" x14ac:dyDescent="0.25">
      <c r="B375" s="2"/>
    </row>
    <row r="376" spans="2:2" x14ac:dyDescent="0.25">
      <c r="B376" s="2"/>
    </row>
    <row r="377" spans="2:2" x14ac:dyDescent="0.25">
      <c r="B377" s="2"/>
    </row>
    <row r="378" spans="2:2" x14ac:dyDescent="0.25">
      <c r="B378" s="2"/>
    </row>
    <row r="379" spans="2:2" x14ac:dyDescent="0.25">
      <c r="B379" s="2"/>
    </row>
    <row r="380" spans="2:2" x14ac:dyDescent="0.25">
      <c r="B380" s="2"/>
    </row>
    <row r="381" spans="2:2" x14ac:dyDescent="0.25">
      <c r="B381" s="2"/>
    </row>
    <row r="382" spans="2:2" x14ac:dyDescent="0.25">
      <c r="B382" s="2"/>
    </row>
    <row r="383" spans="2:2" x14ac:dyDescent="0.25">
      <c r="B383" s="2"/>
    </row>
    <row r="384" spans="2:2" x14ac:dyDescent="0.25">
      <c r="B384" s="2"/>
    </row>
    <row r="385" spans="2:2" x14ac:dyDescent="0.25">
      <c r="B385" s="2"/>
    </row>
    <row r="386" spans="2:2" x14ac:dyDescent="0.25">
      <c r="B386" s="2"/>
    </row>
    <row r="387" spans="2:2" x14ac:dyDescent="0.25">
      <c r="B387" s="2"/>
    </row>
    <row r="388" spans="2:2" x14ac:dyDescent="0.25">
      <c r="B388" s="2"/>
    </row>
    <row r="389" spans="2:2" x14ac:dyDescent="0.25">
      <c r="B389" s="2"/>
    </row>
    <row r="390" spans="2:2" x14ac:dyDescent="0.25">
      <c r="B390" s="2"/>
    </row>
    <row r="391" spans="2:2" x14ac:dyDescent="0.25">
      <c r="B391" s="2"/>
    </row>
    <row r="392" spans="2:2" x14ac:dyDescent="0.25">
      <c r="B392" s="2"/>
    </row>
    <row r="393" spans="2:2" x14ac:dyDescent="0.25">
      <c r="B393" s="2"/>
    </row>
    <row r="394" spans="2:2" x14ac:dyDescent="0.25">
      <c r="B394" s="2"/>
    </row>
    <row r="395" spans="2:2" x14ac:dyDescent="0.25">
      <c r="B395" s="2"/>
    </row>
    <row r="396" spans="2:2" x14ac:dyDescent="0.25">
      <c r="B396" s="2"/>
    </row>
    <row r="397" spans="2:2" x14ac:dyDescent="0.25">
      <c r="B397" s="2"/>
    </row>
    <row r="398" spans="2:2" x14ac:dyDescent="0.25">
      <c r="B398" s="2"/>
    </row>
    <row r="399" spans="2:2" x14ac:dyDescent="0.25">
      <c r="B399" s="2"/>
    </row>
    <row r="400" spans="2:2" x14ac:dyDescent="0.25">
      <c r="B400" s="2"/>
    </row>
    <row r="401" spans="2:2" x14ac:dyDescent="0.25">
      <c r="B401" s="2"/>
    </row>
    <row r="402" spans="2:2" x14ac:dyDescent="0.25">
      <c r="B402" s="2"/>
    </row>
    <row r="403" spans="2:2" x14ac:dyDescent="0.25">
      <c r="B403" s="2"/>
    </row>
    <row r="404" spans="2:2" x14ac:dyDescent="0.25">
      <c r="B404" s="2"/>
    </row>
    <row r="405" spans="2:2" x14ac:dyDescent="0.25">
      <c r="B405" s="2"/>
    </row>
    <row r="406" spans="2:2" x14ac:dyDescent="0.25">
      <c r="B406" s="2"/>
    </row>
    <row r="407" spans="2:2" x14ac:dyDescent="0.25">
      <c r="B407" s="2"/>
    </row>
    <row r="408" spans="2:2" x14ac:dyDescent="0.25">
      <c r="B408" s="2"/>
    </row>
    <row r="409" spans="2:2" x14ac:dyDescent="0.25">
      <c r="B409" s="2"/>
    </row>
    <row r="410" spans="2:2" x14ac:dyDescent="0.25">
      <c r="B410" s="2"/>
    </row>
    <row r="411" spans="2:2" x14ac:dyDescent="0.25">
      <c r="B411" s="2"/>
    </row>
    <row r="412" spans="2:2" x14ac:dyDescent="0.25">
      <c r="B412" s="2"/>
    </row>
    <row r="413" spans="2:2" x14ac:dyDescent="0.25">
      <c r="B413" s="2"/>
    </row>
    <row r="414" spans="2:2" x14ac:dyDescent="0.25">
      <c r="B414" s="2"/>
    </row>
    <row r="415" spans="2:2" x14ac:dyDescent="0.25">
      <c r="B415" s="2"/>
    </row>
    <row r="416" spans="2:2" x14ac:dyDescent="0.25">
      <c r="B416" s="2"/>
    </row>
    <row r="417" spans="2:2" x14ac:dyDescent="0.25">
      <c r="B417" s="2"/>
    </row>
    <row r="418" spans="2:2" x14ac:dyDescent="0.25">
      <c r="B418" s="2"/>
    </row>
    <row r="419" spans="2:2" x14ac:dyDescent="0.25">
      <c r="B419" s="2"/>
    </row>
    <row r="420" spans="2:2" x14ac:dyDescent="0.25">
      <c r="B420" s="2"/>
    </row>
    <row r="421" spans="2:2" x14ac:dyDescent="0.25">
      <c r="B421" s="2"/>
    </row>
    <row r="422" spans="2:2" x14ac:dyDescent="0.25">
      <c r="B422" s="2"/>
    </row>
    <row r="423" spans="2:2" x14ac:dyDescent="0.25">
      <c r="B423" s="2"/>
    </row>
    <row r="424" spans="2:2" x14ac:dyDescent="0.25">
      <c r="B424" s="2"/>
    </row>
    <row r="425" spans="2:2" x14ac:dyDescent="0.25">
      <c r="B425" s="2"/>
    </row>
    <row r="426" spans="2:2" x14ac:dyDescent="0.25">
      <c r="B426" s="2"/>
    </row>
    <row r="427" spans="2:2" x14ac:dyDescent="0.25">
      <c r="B427" s="2"/>
    </row>
    <row r="428" spans="2:2" x14ac:dyDescent="0.25">
      <c r="B428" s="2"/>
    </row>
    <row r="429" spans="2:2" x14ac:dyDescent="0.25">
      <c r="B429" s="2"/>
    </row>
    <row r="430" spans="2:2" x14ac:dyDescent="0.25">
      <c r="B430" s="2"/>
    </row>
    <row r="431" spans="2:2" x14ac:dyDescent="0.25">
      <c r="B431" s="2"/>
    </row>
    <row r="432" spans="2:2" x14ac:dyDescent="0.25">
      <c r="B432" s="2"/>
    </row>
    <row r="433" spans="2:2" x14ac:dyDescent="0.25">
      <c r="B433" s="2"/>
    </row>
    <row r="434" spans="2:2" x14ac:dyDescent="0.25">
      <c r="B434" s="2"/>
    </row>
    <row r="435" spans="2:2" x14ac:dyDescent="0.25">
      <c r="B435" s="2"/>
    </row>
    <row r="436" spans="2:2" x14ac:dyDescent="0.25">
      <c r="B436" s="2"/>
    </row>
    <row r="437" spans="2:2" x14ac:dyDescent="0.25">
      <c r="B437" s="2"/>
    </row>
    <row r="438" spans="2:2" x14ac:dyDescent="0.25">
      <c r="B438" s="2"/>
    </row>
    <row r="439" spans="2:2" x14ac:dyDescent="0.25">
      <c r="B439" s="2"/>
    </row>
    <row r="440" spans="2:2" x14ac:dyDescent="0.25">
      <c r="B440" s="2"/>
    </row>
    <row r="441" spans="2:2" x14ac:dyDescent="0.25">
      <c r="B441" s="2"/>
    </row>
    <row r="442" spans="2:2" x14ac:dyDescent="0.25">
      <c r="B442" s="2"/>
    </row>
    <row r="443" spans="2:2" x14ac:dyDescent="0.25">
      <c r="B443" s="2"/>
    </row>
    <row r="444" spans="2:2" x14ac:dyDescent="0.25">
      <c r="B444" s="2"/>
    </row>
    <row r="445" spans="2:2" x14ac:dyDescent="0.25">
      <c r="B445" s="2"/>
    </row>
    <row r="446" spans="2:2" x14ac:dyDescent="0.25">
      <c r="B446" s="2"/>
    </row>
    <row r="447" spans="2:2" x14ac:dyDescent="0.25">
      <c r="B447" s="2"/>
    </row>
    <row r="448" spans="2:2" x14ac:dyDescent="0.25">
      <c r="B448" s="2"/>
    </row>
    <row r="449" spans="2:2" x14ac:dyDescent="0.25">
      <c r="B449" s="2"/>
    </row>
    <row r="450" spans="2:2" x14ac:dyDescent="0.25">
      <c r="B450" s="2"/>
    </row>
    <row r="451" spans="2:2" x14ac:dyDescent="0.25">
      <c r="B451" s="2"/>
    </row>
    <row r="452" spans="2:2" x14ac:dyDescent="0.25">
      <c r="B452" s="2"/>
    </row>
    <row r="453" spans="2:2" x14ac:dyDescent="0.25">
      <c r="B453" s="2"/>
    </row>
    <row r="454" spans="2:2" x14ac:dyDescent="0.25">
      <c r="B454" s="2"/>
    </row>
    <row r="455" spans="2:2" x14ac:dyDescent="0.25">
      <c r="B455" s="2"/>
    </row>
    <row r="456" spans="2:2" x14ac:dyDescent="0.25">
      <c r="B456" s="2"/>
    </row>
    <row r="457" spans="2:2" x14ac:dyDescent="0.25">
      <c r="B457" s="2"/>
    </row>
    <row r="458" spans="2:2" x14ac:dyDescent="0.25">
      <c r="B458" s="2"/>
    </row>
    <row r="459" spans="2:2" x14ac:dyDescent="0.25">
      <c r="B459" s="2"/>
    </row>
    <row r="460" spans="2:2" x14ac:dyDescent="0.25">
      <c r="B460" s="2"/>
    </row>
    <row r="461" spans="2:2" x14ac:dyDescent="0.25">
      <c r="B461" s="2"/>
    </row>
    <row r="462" spans="2:2" x14ac:dyDescent="0.25">
      <c r="B462" s="2"/>
    </row>
    <row r="463" spans="2:2" x14ac:dyDescent="0.25">
      <c r="B463" s="2"/>
    </row>
    <row r="464" spans="2:2" x14ac:dyDescent="0.25">
      <c r="B464" s="2"/>
    </row>
    <row r="465" spans="2:2" x14ac:dyDescent="0.25">
      <c r="B465" s="2"/>
    </row>
    <row r="466" spans="2:2" x14ac:dyDescent="0.25">
      <c r="B466" s="2"/>
    </row>
    <row r="467" spans="2:2" x14ac:dyDescent="0.25">
      <c r="B467" s="2"/>
    </row>
    <row r="468" spans="2:2" x14ac:dyDescent="0.25">
      <c r="B468" s="2"/>
    </row>
    <row r="469" spans="2:2" x14ac:dyDescent="0.25">
      <c r="B469" s="2"/>
    </row>
    <row r="470" spans="2:2" x14ac:dyDescent="0.25">
      <c r="B470" s="2"/>
    </row>
    <row r="471" spans="2:2" x14ac:dyDescent="0.25">
      <c r="B471" s="2"/>
    </row>
    <row r="472" spans="2:2" x14ac:dyDescent="0.25">
      <c r="B472" s="2"/>
    </row>
    <row r="473" spans="2:2" x14ac:dyDescent="0.25">
      <c r="B473" s="2"/>
    </row>
    <row r="474" spans="2:2" x14ac:dyDescent="0.25">
      <c r="B474" s="2"/>
    </row>
    <row r="475" spans="2:2" x14ac:dyDescent="0.25">
      <c r="B475" s="2"/>
    </row>
    <row r="476" spans="2:2" x14ac:dyDescent="0.25">
      <c r="B476" s="2"/>
    </row>
    <row r="477" spans="2:2" x14ac:dyDescent="0.25">
      <c r="B477" s="2"/>
    </row>
    <row r="478" spans="2:2" x14ac:dyDescent="0.25">
      <c r="B478" s="2"/>
    </row>
    <row r="479" spans="2:2" x14ac:dyDescent="0.25">
      <c r="B479" s="2"/>
    </row>
    <row r="480" spans="2:2" x14ac:dyDescent="0.25">
      <c r="B480" s="2"/>
    </row>
    <row r="481" spans="2:2" x14ac:dyDescent="0.25">
      <c r="B481" s="2"/>
    </row>
    <row r="482" spans="2:2" x14ac:dyDescent="0.25">
      <c r="B482" s="2"/>
    </row>
    <row r="483" spans="2:2" x14ac:dyDescent="0.25">
      <c r="B483" s="2"/>
    </row>
    <row r="484" spans="2:2" x14ac:dyDescent="0.25">
      <c r="B484" s="2"/>
    </row>
    <row r="485" spans="2:2" x14ac:dyDescent="0.25">
      <c r="B485" s="2"/>
    </row>
    <row r="486" spans="2:2" x14ac:dyDescent="0.25">
      <c r="B486" s="2"/>
    </row>
    <row r="487" spans="2:2" x14ac:dyDescent="0.25">
      <c r="B487" s="2"/>
    </row>
    <row r="488" spans="2:2" x14ac:dyDescent="0.25">
      <c r="B488" s="2"/>
    </row>
    <row r="489" spans="2:2" x14ac:dyDescent="0.25">
      <c r="B489" s="2"/>
    </row>
    <row r="490" spans="2:2" x14ac:dyDescent="0.25">
      <c r="B490" s="2"/>
    </row>
    <row r="491" spans="2:2" x14ac:dyDescent="0.25">
      <c r="B491" s="2"/>
    </row>
    <row r="492" spans="2:2" x14ac:dyDescent="0.25">
      <c r="B492" s="2"/>
    </row>
    <row r="493" spans="2:2" x14ac:dyDescent="0.25">
      <c r="B493" s="2"/>
    </row>
    <row r="494" spans="2:2" x14ac:dyDescent="0.25">
      <c r="B494" s="2"/>
    </row>
    <row r="495" spans="2:2" x14ac:dyDescent="0.25">
      <c r="B495" s="2"/>
    </row>
    <row r="496" spans="2:2" x14ac:dyDescent="0.25">
      <c r="B496" s="2"/>
    </row>
    <row r="497" spans="2:2" x14ac:dyDescent="0.25">
      <c r="B497" s="2"/>
    </row>
    <row r="498" spans="2:2" x14ac:dyDescent="0.25">
      <c r="B498" s="2"/>
    </row>
    <row r="499" spans="2:2" x14ac:dyDescent="0.25">
      <c r="B499" s="2"/>
    </row>
    <row r="500" spans="2:2" x14ac:dyDescent="0.25">
      <c r="B500" s="2"/>
    </row>
    <row r="501" spans="2:2" x14ac:dyDescent="0.25">
      <c r="B501" s="2"/>
    </row>
    <row r="502" spans="2:2" x14ac:dyDescent="0.25">
      <c r="B502" s="2"/>
    </row>
    <row r="503" spans="2:2" x14ac:dyDescent="0.25">
      <c r="B503" s="2"/>
    </row>
    <row r="504" spans="2:2" x14ac:dyDescent="0.25">
      <c r="B504" s="2"/>
    </row>
    <row r="505" spans="2:2" x14ac:dyDescent="0.25">
      <c r="B505" s="2"/>
    </row>
    <row r="506" spans="2:2" x14ac:dyDescent="0.25">
      <c r="B506" s="2"/>
    </row>
    <row r="507" spans="2:2" x14ac:dyDescent="0.25">
      <c r="B507" s="2"/>
    </row>
    <row r="508" spans="2:2" x14ac:dyDescent="0.25">
      <c r="B508" s="2"/>
    </row>
    <row r="509" spans="2:2" x14ac:dyDescent="0.25">
      <c r="B509" s="2"/>
    </row>
    <row r="510" spans="2:2" x14ac:dyDescent="0.25">
      <c r="B510" s="2"/>
    </row>
    <row r="511" spans="2:2" x14ac:dyDescent="0.25">
      <c r="B511" s="2"/>
    </row>
    <row r="512" spans="2:2" x14ac:dyDescent="0.25">
      <c r="B512" s="2"/>
    </row>
    <row r="513" spans="2:2" x14ac:dyDescent="0.25">
      <c r="B513" s="2"/>
    </row>
    <row r="514" spans="2:2" x14ac:dyDescent="0.25">
      <c r="B514" s="2"/>
    </row>
    <row r="515" spans="2:2" x14ac:dyDescent="0.25">
      <c r="B515" s="2"/>
    </row>
    <row r="516" spans="2:2" x14ac:dyDescent="0.25">
      <c r="B516" s="2"/>
    </row>
    <row r="517" spans="2:2" x14ac:dyDescent="0.25">
      <c r="B517" s="2"/>
    </row>
    <row r="518" spans="2:2" x14ac:dyDescent="0.25">
      <c r="B518" s="2"/>
    </row>
    <row r="519" spans="2:2" x14ac:dyDescent="0.25">
      <c r="B519" s="2"/>
    </row>
    <row r="520" spans="2:2" x14ac:dyDescent="0.25">
      <c r="B520" s="2"/>
    </row>
    <row r="521" spans="2:2" x14ac:dyDescent="0.25">
      <c r="B521" s="2"/>
    </row>
    <row r="522" spans="2:2" x14ac:dyDescent="0.25">
      <c r="B522" s="2"/>
    </row>
    <row r="523" spans="2:2" x14ac:dyDescent="0.25">
      <c r="B523" s="2"/>
    </row>
    <row r="524" spans="2:2" x14ac:dyDescent="0.25">
      <c r="B524" s="2"/>
    </row>
    <row r="525" spans="2:2" x14ac:dyDescent="0.25">
      <c r="B525" s="2"/>
    </row>
    <row r="526" spans="2:2" x14ac:dyDescent="0.25">
      <c r="B526" s="2"/>
    </row>
    <row r="527" spans="2:2" x14ac:dyDescent="0.25">
      <c r="B527" s="2"/>
    </row>
    <row r="528" spans="2:2" x14ac:dyDescent="0.25">
      <c r="B528" s="2"/>
    </row>
    <row r="529" spans="2:2" x14ac:dyDescent="0.25">
      <c r="B529" s="2"/>
    </row>
    <row r="530" spans="2:2" x14ac:dyDescent="0.25">
      <c r="B530" s="2"/>
    </row>
    <row r="531" spans="2:2" x14ac:dyDescent="0.25">
      <c r="B531" s="2"/>
    </row>
    <row r="532" spans="2:2" x14ac:dyDescent="0.25">
      <c r="B532" s="2"/>
    </row>
    <row r="533" spans="2:2" x14ac:dyDescent="0.25">
      <c r="B533" s="2"/>
    </row>
    <row r="534" spans="2:2" x14ac:dyDescent="0.25">
      <c r="B534" s="2"/>
    </row>
    <row r="535" spans="2:2" x14ac:dyDescent="0.25">
      <c r="B535" s="2"/>
    </row>
    <row r="536" spans="2:2" x14ac:dyDescent="0.25">
      <c r="B536" s="2"/>
    </row>
    <row r="537" spans="2:2" x14ac:dyDescent="0.25">
      <c r="B537" s="2"/>
    </row>
    <row r="538" spans="2:2" x14ac:dyDescent="0.25">
      <c r="B538" s="2"/>
    </row>
    <row r="539" spans="2:2" x14ac:dyDescent="0.25">
      <c r="B539" s="2"/>
    </row>
    <row r="540" spans="2:2" x14ac:dyDescent="0.25">
      <c r="B540" s="2"/>
    </row>
    <row r="541" spans="2:2" x14ac:dyDescent="0.25">
      <c r="B541" s="2"/>
    </row>
    <row r="542" spans="2:2" x14ac:dyDescent="0.25">
      <c r="B542" s="2"/>
    </row>
    <row r="543" spans="2:2" x14ac:dyDescent="0.25">
      <c r="B543" s="2"/>
    </row>
    <row r="544" spans="2:2" x14ac:dyDescent="0.25">
      <c r="B544" s="2"/>
    </row>
    <row r="545" spans="2:2" x14ac:dyDescent="0.25">
      <c r="B545" s="2"/>
    </row>
    <row r="546" spans="2:2" x14ac:dyDescent="0.25">
      <c r="B546" s="2"/>
    </row>
    <row r="547" spans="2:2" x14ac:dyDescent="0.25">
      <c r="B547" s="2"/>
    </row>
    <row r="548" spans="2:2" x14ac:dyDescent="0.25">
      <c r="B548" s="2"/>
    </row>
    <row r="549" spans="2:2" x14ac:dyDescent="0.25">
      <c r="B549" s="2"/>
    </row>
    <row r="550" spans="2:2" x14ac:dyDescent="0.25">
      <c r="B550" s="2"/>
    </row>
    <row r="551" spans="2:2" x14ac:dyDescent="0.25">
      <c r="B551" s="2"/>
    </row>
    <row r="552" spans="2:2" x14ac:dyDescent="0.25">
      <c r="B552" s="2"/>
    </row>
    <row r="553" spans="2:2" x14ac:dyDescent="0.25">
      <c r="B553" s="2"/>
    </row>
    <row r="554" spans="2:2" x14ac:dyDescent="0.25">
      <c r="B554" s="2"/>
    </row>
    <row r="555" spans="2:2" x14ac:dyDescent="0.25">
      <c r="B555" s="2"/>
    </row>
    <row r="556" spans="2:2" x14ac:dyDescent="0.25">
      <c r="B556" s="2"/>
    </row>
    <row r="557" spans="2:2" x14ac:dyDescent="0.25">
      <c r="B557" s="2"/>
    </row>
    <row r="558" spans="2:2" x14ac:dyDescent="0.25">
      <c r="B558" s="2"/>
    </row>
    <row r="559" spans="2:2" x14ac:dyDescent="0.25">
      <c r="B559" s="2"/>
    </row>
    <row r="560" spans="2:2" x14ac:dyDescent="0.25">
      <c r="B560" s="2"/>
    </row>
    <row r="561" spans="2:2" x14ac:dyDescent="0.25">
      <c r="B561" s="2"/>
    </row>
    <row r="562" spans="2:2" x14ac:dyDescent="0.25">
      <c r="B562" s="2"/>
    </row>
    <row r="563" spans="2:2" x14ac:dyDescent="0.25">
      <c r="B563" s="2"/>
    </row>
    <row r="564" spans="2:2" x14ac:dyDescent="0.25">
      <c r="B564" s="2"/>
    </row>
    <row r="565" spans="2:2" x14ac:dyDescent="0.25">
      <c r="B565" s="2"/>
    </row>
    <row r="566" spans="2:2" x14ac:dyDescent="0.25">
      <c r="B566" s="2"/>
    </row>
    <row r="567" spans="2:2" x14ac:dyDescent="0.25">
      <c r="B567" s="2"/>
    </row>
    <row r="568" spans="2:2" x14ac:dyDescent="0.25">
      <c r="B568" s="2"/>
    </row>
    <row r="569" spans="2:2" x14ac:dyDescent="0.25">
      <c r="B569" s="2"/>
    </row>
    <row r="570" spans="2:2" x14ac:dyDescent="0.25">
      <c r="B570" s="2"/>
    </row>
    <row r="571" spans="2:2" x14ac:dyDescent="0.25">
      <c r="B571" s="2"/>
    </row>
    <row r="572" spans="2:2" x14ac:dyDescent="0.25">
      <c r="B572" s="2"/>
    </row>
    <row r="573" spans="2:2" x14ac:dyDescent="0.25">
      <c r="B573" s="2"/>
    </row>
    <row r="574" spans="2:2" x14ac:dyDescent="0.25">
      <c r="B574" s="2"/>
    </row>
    <row r="575" spans="2:2" x14ac:dyDescent="0.25">
      <c r="B575" s="2"/>
    </row>
    <row r="576" spans="2:2" x14ac:dyDescent="0.25">
      <c r="B576" s="2"/>
    </row>
    <row r="577" spans="2:2" x14ac:dyDescent="0.25">
      <c r="B577" s="2"/>
    </row>
    <row r="578" spans="2:2" x14ac:dyDescent="0.25">
      <c r="B578" s="2"/>
    </row>
    <row r="579" spans="2:2" x14ac:dyDescent="0.25">
      <c r="B579" s="2"/>
    </row>
    <row r="580" spans="2:2" x14ac:dyDescent="0.25">
      <c r="B580" s="2"/>
    </row>
    <row r="581" spans="2:2" x14ac:dyDescent="0.25">
      <c r="B581" s="2"/>
    </row>
    <row r="582" spans="2:2" x14ac:dyDescent="0.25">
      <c r="B582" s="2"/>
    </row>
    <row r="583" spans="2:2" x14ac:dyDescent="0.25">
      <c r="B583" s="2"/>
    </row>
    <row r="584" spans="2:2" x14ac:dyDescent="0.25">
      <c r="B584" s="2"/>
    </row>
    <row r="585" spans="2:2" x14ac:dyDescent="0.25">
      <c r="B585" s="2"/>
    </row>
    <row r="586" spans="2:2" x14ac:dyDescent="0.25">
      <c r="B586" s="2"/>
    </row>
    <row r="587" spans="2:2" x14ac:dyDescent="0.25">
      <c r="B587" s="2"/>
    </row>
    <row r="588" spans="2:2" x14ac:dyDescent="0.25">
      <c r="B588" s="2"/>
    </row>
    <row r="589" spans="2:2" x14ac:dyDescent="0.25">
      <c r="B589" s="2"/>
    </row>
    <row r="590" spans="2:2" x14ac:dyDescent="0.25">
      <c r="B590" s="2"/>
    </row>
    <row r="591" spans="2:2" x14ac:dyDescent="0.25">
      <c r="B591" s="2"/>
    </row>
    <row r="592" spans="2:2" x14ac:dyDescent="0.25">
      <c r="B592" s="2"/>
    </row>
    <row r="593" spans="2:2" x14ac:dyDescent="0.25">
      <c r="B593" s="2"/>
    </row>
    <row r="594" spans="2:2" x14ac:dyDescent="0.25">
      <c r="B594" s="2"/>
    </row>
    <row r="595" spans="2:2" x14ac:dyDescent="0.25">
      <c r="B595" s="2"/>
    </row>
    <row r="596" spans="2:2" x14ac:dyDescent="0.25">
      <c r="B596" s="2"/>
    </row>
    <row r="597" spans="2:2" x14ac:dyDescent="0.25">
      <c r="B597" s="2"/>
    </row>
    <row r="598" spans="2:2" x14ac:dyDescent="0.25">
      <c r="B598" s="2"/>
    </row>
    <row r="599" spans="2:2" x14ac:dyDescent="0.25">
      <c r="B599" s="2"/>
    </row>
    <row r="600" spans="2:2" x14ac:dyDescent="0.25">
      <c r="B600" s="2"/>
    </row>
    <row r="601" spans="2:2" x14ac:dyDescent="0.25">
      <c r="B601" s="2"/>
    </row>
    <row r="602" spans="2:2" x14ac:dyDescent="0.25">
      <c r="B602" s="2"/>
    </row>
    <row r="603" spans="2:2" x14ac:dyDescent="0.25">
      <c r="B603" s="2"/>
    </row>
    <row r="604" spans="2:2" x14ac:dyDescent="0.25">
      <c r="B604" s="2"/>
    </row>
    <row r="605" spans="2:2" x14ac:dyDescent="0.25">
      <c r="B605" s="2"/>
    </row>
    <row r="606" spans="2:2" x14ac:dyDescent="0.25">
      <c r="B606" s="2"/>
    </row>
    <row r="607" spans="2:2" x14ac:dyDescent="0.25">
      <c r="B607" s="2"/>
    </row>
    <row r="608" spans="2:2" x14ac:dyDescent="0.25">
      <c r="B608" s="2"/>
    </row>
    <row r="609" spans="2:2" x14ac:dyDescent="0.25">
      <c r="B609" s="2"/>
    </row>
    <row r="610" spans="2:2" x14ac:dyDescent="0.25">
      <c r="B610" s="2"/>
    </row>
    <row r="611" spans="2:2" x14ac:dyDescent="0.25">
      <c r="B611" s="2"/>
    </row>
    <row r="612" spans="2:2" x14ac:dyDescent="0.25">
      <c r="B612" s="2"/>
    </row>
    <row r="613" spans="2:2" x14ac:dyDescent="0.25">
      <c r="B613" s="2"/>
    </row>
    <row r="614" spans="2:2" x14ac:dyDescent="0.25">
      <c r="B614" s="2"/>
    </row>
    <row r="615" spans="2:2" x14ac:dyDescent="0.25">
      <c r="B615" s="2"/>
    </row>
    <row r="616" spans="2:2" x14ac:dyDescent="0.25">
      <c r="B616" s="2"/>
    </row>
    <row r="617" spans="2:2" x14ac:dyDescent="0.25">
      <c r="B617" s="2"/>
    </row>
    <row r="618" spans="2:2" x14ac:dyDescent="0.25">
      <c r="B618" s="2"/>
    </row>
    <row r="619" spans="2:2" x14ac:dyDescent="0.25">
      <c r="B619" s="2"/>
    </row>
    <row r="620" spans="2:2" x14ac:dyDescent="0.25">
      <c r="B620" s="2"/>
    </row>
    <row r="621" spans="2:2" x14ac:dyDescent="0.25">
      <c r="B621" s="2"/>
    </row>
    <row r="622" spans="2:2" x14ac:dyDescent="0.25">
      <c r="B622" s="2"/>
    </row>
    <row r="623" spans="2:2" x14ac:dyDescent="0.25">
      <c r="B623" s="2"/>
    </row>
    <row r="624" spans="2:2" x14ac:dyDescent="0.25">
      <c r="B624" s="2"/>
    </row>
    <row r="625" spans="2:2" x14ac:dyDescent="0.25">
      <c r="B625" s="2"/>
    </row>
    <row r="626" spans="2:2" x14ac:dyDescent="0.25">
      <c r="B626" s="2"/>
    </row>
    <row r="627" spans="2:2" x14ac:dyDescent="0.25">
      <c r="B627" s="2"/>
    </row>
    <row r="628" spans="2:2" x14ac:dyDescent="0.25">
      <c r="B628" s="2"/>
    </row>
    <row r="629" spans="2:2" x14ac:dyDescent="0.25">
      <c r="B629" s="2"/>
    </row>
    <row r="630" spans="2:2" x14ac:dyDescent="0.25">
      <c r="B630" s="2"/>
    </row>
    <row r="631" spans="2:2" x14ac:dyDescent="0.25">
      <c r="B631" s="2"/>
    </row>
    <row r="632" spans="2:2" x14ac:dyDescent="0.25">
      <c r="B632" s="2"/>
    </row>
    <row r="633" spans="2:2" x14ac:dyDescent="0.25">
      <c r="B633" s="2"/>
    </row>
    <row r="634" spans="2:2" x14ac:dyDescent="0.25">
      <c r="B634" s="2"/>
    </row>
    <row r="635" spans="2:2" x14ac:dyDescent="0.25">
      <c r="B635" s="2"/>
    </row>
    <row r="636" spans="2:2" x14ac:dyDescent="0.25">
      <c r="B636" s="2"/>
    </row>
    <row r="637" spans="2:2" x14ac:dyDescent="0.25">
      <c r="B637" s="2"/>
    </row>
    <row r="638" spans="2:2" x14ac:dyDescent="0.25">
      <c r="B638" s="2"/>
    </row>
    <row r="639" spans="2:2" x14ac:dyDescent="0.25">
      <c r="B639" s="2"/>
    </row>
    <row r="640" spans="2:2" x14ac:dyDescent="0.25">
      <c r="B640" s="2"/>
    </row>
    <row r="641" spans="2:2" x14ac:dyDescent="0.25">
      <c r="B641" s="2"/>
    </row>
    <row r="642" spans="2:2" x14ac:dyDescent="0.25">
      <c r="B642" s="2"/>
    </row>
    <row r="643" spans="2:2" x14ac:dyDescent="0.25">
      <c r="B643" s="2"/>
    </row>
    <row r="644" spans="2:2" x14ac:dyDescent="0.25">
      <c r="B644" s="2"/>
    </row>
    <row r="645" spans="2:2" x14ac:dyDescent="0.25">
      <c r="B645" s="2"/>
    </row>
    <row r="646" spans="2:2" x14ac:dyDescent="0.25">
      <c r="B646" s="2"/>
    </row>
    <row r="647" spans="2:2" x14ac:dyDescent="0.25">
      <c r="B647" s="2"/>
    </row>
    <row r="648" spans="2:2" x14ac:dyDescent="0.25">
      <c r="B648" s="2"/>
    </row>
    <row r="649" spans="2:2" x14ac:dyDescent="0.25">
      <c r="B649" s="2"/>
    </row>
    <row r="650" spans="2:2" x14ac:dyDescent="0.25">
      <c r="B650" s="2"/>
    </row>
    <row r="651" spans="2:2" x14ac:dyDescent="0.25">
      <c r="B651" s="2"/>
    </row>
    <row r="652" spans="2:2" x14ac:dyDescent="0.25">
      <c r="B652" s="2"/>
    </row>
    <row r="653" spans="2:2" x14ac:dyDescent="0.25">
      <c r="B653" s="2"/>
    </row>
    <row r="654" spans="2:2" x14ac:dyDescent="0.25">
      <c r="B654" s="2"/>
    </row>
    <row r="655" spans="2:2" x14ac:dyDescent="0.25">
      <c r="B655" s="2"/>
    </row>
    <row r="656" spans="2:2" x14ac:dyDescent="0.25">
      <c r="B656" s="2"/>
    </row>
    <row r="657" spans="2:2" x14ac:dyDescent="0.25">
      <c r="B657" s="2"/>
    </row>
    <row r="658" spans="2:2" x14ac:dyDescent="0.25">
      <c r="B658" s="2"/>
    </row>
    <row r="659" spans="2:2" x14ac:dyDescent="0.25">
      <c r="B659" s="2"/>
    </row>
    <row r="660" spans="2:2" x14ac:dyDescent="0.25">
      <c r="B660" s="2"/>
    </row>
    <row r="661" spans="2:2" x14ac:dyDescent="0.25">
      <c r="B661" s="2"/>
    </row>
    <row r="662" spans="2:2" x14ac:dyDescent="0.25">
      <c r="B662" s="2"/>
    </row>
    <row r="663" spans="2:2" x14ac:dyDescent="0.25">
      <c r="B663" s="2"/>
    </row>
    <row r="664" spans="2:2" x14ac:dyDescent="0.25">
      <c r="B664" s="2"/>
    </row>
    <row r="665" spans="2:2" x14ac:dyDescent="0.25">
      <c r="B665" s="2"/>
    </row>
    <row r="666" spans="2:2" x14ac:dyDescent="0.25">
      <c r="B666" s="2"/>
    </row>
    <row r="667" spans="2:2" x14ac:dyDescent="0.25">
      <c r="B667" s="2"/>
    </row>
    <row r="668" spans="2:2" x14ac:dyDescent="0.25">
      <c r="B668" s="2"/>
    </row>
    <row r="669" spans="2:2" x14ac:dyDescent="0.25">
      <c r="B669" s="2"/>
    </row>
    <row r="670" spans="2:2" x14ac:dyDescent="0.25">
      <c r="B670" s="2"/>
    </row>
    <row r="671" spans="2:2" x14ac:dyDescent="0.25">
      <c r="B671" s="2"/>
    </row>
    <row r="672" spans="2:2" x14ac:dyDescent="0.25">
      <c r="B672" s="2"/>
    </row>
    <row r="673" spans="2:2" x14ac:dyDescent="0.25">
      <c r="B673" s="2"/>
    </row>
    <row r="674" spans="2:2" x14ac:dyDescent="0.25">
      <c r="B674" s="2"/>
    </row>
    <row r="675" spans="2:2" x14ac:dyDescent="0.25">
      <c r="B675" s="2"/>
    </row>
    <row r="676" spans="2:2" x14ac:dyDescent="0.25">
      <c r="B676" s="2"/>
    </row>
    <row r="677" spans="2:2" x14ac:dyDescent="0.25">
      <c r="B677" s="2"/>
    </row>
    <row r="678" spans="2:2" x14ac:dyDescent="0.25">
      <c r="B678" s="2"/>
    </row>
    <row r="679" spans="2:2" x14ac:dyDescent="0.25">
      <c r="B679" s="2"/>
    </row>
    <row r="680" spans="2:2" x14ac:dyDescent="0.25">
      <c r="B680" s="2"/>
    </row>
    <row r="681" spans="2:2" x14ac:dyDescent="0.25">
      <c r="B681" s="2"/>
    </row>
    <row r="682" spans="2:2" x14ac:dyDescent="0.25">
      <c r="B682" s="2"/>
    </row>
    <row r="683" spans="2:2" x14ac:dyDescent="0.25">
      <c r="B683" s="2"/>
    </row>
    <row r="684" spans="2:2" x14ac:dyDescent="0.25">
      <c r="B684" s="2"/>
    </row>
    <row r="685" spans="2:2" x14ac:dyDescent="0.25">
      <c r="B685" s="2"/>
    </row>
    <row r="686" spans="2:2" x14ac:dyDescent="0.25">
      <c r="B686" s="2"/>
    </row>
    <row r="687" spans="2:2" x14ac:dyDescent="0.25">
      <c r="B687" s="2"/>
    </row>
    <row r="688" spans="2:2" x14ac:dyDescent="0.25">
      <c r="B688" s="2"/>
    </row>
    <row r="689" spans="2:2" x14ac:dyDescent="0.25">
      <c r="B689" s="2"/>
    </row>
    <row r="690" spans="2:2" x14ac:dyDescent="0.25">
      <c r="B690" s="2"/>
    </row>
    <row r="691" spans="2:2" x14ac:dyDescent="0.25">
      <c r="B691" s="2"/>
    </row>
    <row r="692" spans="2:2" x14ac:dyDescent="0.25">
      <c r="B692" s="2"/>
    </row>
    <row r="693" spans="2:2" x14ac:dyDescent="0.25">
      <c r="B693" s="2"/>
    </row>
    <row r="694" spans="2:2" x14ac:dyDescent="0.25">
      <c r="B694" s="2"/>
    </row>
    <row r="695" spans="2:2" x14ac:dyDescent="0.25">
      <c r="B695" s="2"/>
    </row>
    <row r="696" spans="2:2" x14ac:dyDescent="0.25">
      <c r="B696" s="2"/>
    </row>
    <row r="697" spans="2:2" x14ac:dyDescent="0.25">
      <c r="B697" s="2"/>
    </row>
    <row r="698" spans="2:2" x14ac:dyDescent="0.25">
      <c r="B698" s="2"/>
    </row>
    <row r="699" spans="2:2" x14ac:dyDescent="0.25">
      <c r="B699" s="2"/>
    </row>
    <row r="700" spans="2:2" x14ac:dyDescent="0.25">
      <c r="B700" s="2"/>
    </row>
    <row r="701" spans="2:2" x14ac:dyDescent="0.25">
      <c r="B701" s="2"/>
    </row>
    <row r="702" spans="2:2" x14ac:dyDescent="0.25">
      <c r="B702" s="2"/>
    </row>
    <row r="703" spans="2:2" x14ac:dyDescent="0.25">
      <c r="B703" s="2"/>
    </row>
    <row r="704" spans="2:2" x14ac:dyDescent="0.25">
      <c r="B704" s="2"/>
    </row>
    <row r="705" spans="2:2" x14ac:dyDescent="0.25">
      <c r="B705" s="2"/>
    </row>
  </sheetData>
  <sheetProtection algorithmName="SHA-512" hashValue="gfTKM+fMtsV57g095CVmjMXBWNQZA79ksY9IG6f523tQLKyyHLgMORhQncbRQeS7c+MjaaSIUyPX8Zdm+JNFYQ==" saltValue="kxTx2JoRkqMqV7VLuP1Eiw==" spinCount="100000" sheet="1" objects="1" scenarios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גליונות עבודה</vt:lpstr>
      </vt:variant>
      <vt:variant>
        <vt:i4>3</vt:i4>
      </vt:variant>
    </vt:vector>
  </HeadingPairs>
  <TitlesOfParts>
    <vt:vector size="3" baseType="lpstr">
      <vt:lpstr>גיליון1</vt:lpstr>
      <vt:lpstr>מחשבון חסכון לילדים</vt:lpstr>
      <vt:lpstr>מצטבר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arnon</dc:creator>
  <cp:lastModifiedBy>Yechiel Maman</cp:lastModifiedBy>
  <cp:lastPrinted>2020-12-31T10:51:23Z</cp:lastPrinted>
  <dcterms:created xsi:type="dcterms:W3CDTF">2019-08-21T15:17:47Z</dcterms:created>
  <dcterms:modified xsi:type="dcterms:W3CDTF">2026-06-16T18:07:09Z</dcterms:modified>
</cp:coreProperties>
</file>