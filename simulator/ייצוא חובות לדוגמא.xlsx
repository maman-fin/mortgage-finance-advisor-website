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echiel\mortgage-advisor\simulator\"/>
    </mc:Choice>
  </mc:AlternateContent>
  <xr:revisionPtr revIDLastSave="0" documentId="13_ncr:1_{1CBB7E5C-2929-44B4-93A1-0AD386A6CB06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debts_list" sheetId="1" r:id="rId1"/>
    <sheet name="debts_paymen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H12" i="2" l="1"/>
  <c r="BV12" i="2"/>
  <c r="BJ12" i="2"/>
  <c r="AX12" i="2"/>
  <c r="AL12" i="2"/>
  <c r="Z12" i="2"/>
  <c r="N12" i="2"/>
  <c r="B12" i="2"/>
  <c r="BO12" i="2"/>
  <c r="BZ12" i="2"/>
  <c r="F12" i="2"/>
  <c r="Q12" i="2"/>
  <c r="P12" i="2"/>
  <c r="O12" i="2"/>
  <c r="CG12" i="2"/>
  <c r="BU12" i="2"/>
  <c r="BI12" i="2"/>
  <c r="AW12" i="2"/>
  <c r="AK12" i="2"/>
  <c r="Y12" i="2"/>
  <c r="M12" i="2"/>
  <c r="AR12" i="2"/>
  <c r="BC12" i="2"/>
  <c r="BN12" i="2"/>
  <c r="BM12" i="2"/>
  <c r="BX12" i="2"/>
  <c r="BW12" i="2"/>
  <c r="CF12" i="2"/>
  <c r="BT12" i="2"/>
  <c r="BH12" i="2"/>
  <c r="AV12" i="2"/>
  <c r="AJ12" i="2"/>
  <c r="X12" i="2"/>
  <c r="L12" i="2"/>
  <c r="T12" i="2"/>
  <c r="AQ12" i="2"/>
  <c r="BB12" i="2"/>
  <c r="BY12" i="2"/>
  <c r="E12" i="2"/>
  <c r="D12" i="2"/>
  <c r="C12" i="2"/>
  <c r="CE12" i="2"/>
  <c r="BS12" i="2"/>
  <c r="BG12" i="2"/>
  <c r="AU12" i="2"/>
  <c r="AI12" i="2"/>
  <c r="W12" i="2"/>
  <c r="K12" i="2"/>
  <c r="AF12" i="2"/>
  <c r="AE12" i="2"/>
  <c r="AP12" i="2"/>
  <c r="BA12" i="2"/>
  <c r="BL12" i="2"/>
  <c r="AY12" i="2"/>
  <c r="CD12" i="2"/>
  <c r="BR12" i="2"/>
  <c r="BF12" i="2"/>
  <c r="AT12" i="2"/>
  <c r="AH12" i="2"/>
  <c r="V12" i="2"/>
  <c r="J12" i="2"/>
  <c r="BP12" i="2"/>
  <c r="CA12" i="2"/>
  <c r="G12" i="2"/>
  <c r="R12" i="2"/>
  <c r="AC12" i="2"/>
  <c r="AB12" i="2"/>
  <c r="BK12" i="2"/>
  <c r="CC12" i="2"/>
  <c r="BQ12" i="2"/>
  <c r="BE12" i="2"/>
  <c r="AS12" i="2"/>
  <c r="AG12" i="2"/>
  <c r="U12" i="2"/>
  <c r="I12" i="2"/>
  <c r="BD12" i="2"/>
  <c r="H12" i="2"/>
  <c r="S12" i="2"/>
  <c r="AD12" i="2"/>
  <c r="AO12" i="2"/>
  <c r="AN12" i="2"/>
  <c r="AM12" i="2"/>
  <c r="CB12" i="2"/>
  <c r="AZ12" i="2"/>
  <c r="AA12" i="2"/>
</calcChain>
</file>

<file path=xl/sharedStrings.xml><?xml version="1.0" encoding="utf-8"?>
<sst xmlns="http://schemas.openxmlformats.org/spreadsheetml/2006/main" count="168" uniqueCount="148">
  <si>
    <t>טבלת חובות המתועדים במערכת</t>
  </si>
  <si>
    <t>תאריך ייצוא</t>
  </si>
  <si>
    <t>שם</t>
  </si>
  <si>
    <t>אחראי משפחה</t>
  </si>
  <si>
    <t>יחידה</t>
  </si>
  <si>
    <t>מס' משפחה</t>
  </si>
  <si>
    <t>שם הנושה</t>
  </si>
  <si>
    <t>קטגורית נושה</t>
  </si>
  <si>
    <t>סכום החוב</t>
  </si>
  <si>
    <t>נכון ליום</t>
  </si>
  <si>
    <t>אחוז ריבית</t>
  </si>
  <si>
    <t>מס' תשלומים נותרים</t>
  </si>
  <si>
    <t>סכום החזר בחודש הנוכחי</t>
  </si>
  <si>
    <t>נותר לתשלום</t>
  </si>
  <si>
    <t>הערות</t>
  </si>
  <si>
    <t xml:space="preserve">בנק מזרחי </t>
  </si>
  <si>
    <t>בנק - הלוואה</t>
  </si>
  <si>
    <t>89,704</t>
  </si>
  <si>
    <t>08-03-26</t>
  </si>
  <si>
    <t>14.10%</t>
  </si>
  <si>
    <t>2,500</t>
  </si>
  <si>
    <t>115,000</t>
  </si>
  <si>
    <t/>
  </si>
  <si>
    <t>הלוואה 1 מישראכרט</t>
  </si>
  <si>
    <t>כרטיס אשראי</t>
  </si>
  <si>
    <t>24,000</t>
  </si>
  <si>
    <t>22-02-22</t>
  </si>
  <si>
    <t>17%</t>
  </si>
  <si>
    <t>36,524</t>
  </si>
  <si>
    <t>אשראי מתגלגל כולל ריבית פיגורים. מספר התשלומים שנותרו - לפי הרשום בדוח של הכרטיס</t>
  </si>
  <si>
    <t>ויזה כאל 1552</t>
  </si>
  <si>
    <t>17,356</t>
  </si>
  <si>
    <t>10-02-26</t>
  </si>
  <si>
    <t>14.93%</t>
  </si>
  <si>
    <t>17,000</t>
  </si>
  <si>
    <t>אשראי מתגלגל. מספר התשלומים שנותרו לא ידוע לי המספר נובע מחלוקת הסכום כולל ריבית ב- 500</t>
  </si>
  <si>
    <t>ויזה מקס 2245</t>
  </si>
  <si>
    <t>33,679</t>
  </si>
  <si>
    <t>16.65%</t>
  </si>
  <si>
    <t>32,680</t>
  </si>
  <si>
    <t>אשראי מתגלגל מספר התשלומים שנותרו לא ידוע לי, חילקתי את החוב עם הריבית ב- 760</t>
  </si>
  <si>
    <t>ויזה מקס 3920</t>
  </si>
  <si>
    <t>6,496</t>
  </si>
  <si>
    <t>6,200</t>
  </si>
  <si>
    <t>אשראי מתגלגל. מספר התשלומים שנותרו לא ידוע לי, חילקתי את החוב כולל הריבית ב- 200</t>
  </si>
  <si>
    <t>חוב לעמית</t>
  </si>
  <si>
    <t>משפחה קרובה</t>
  </si>
  <si>
    <t>30-03-26</t>
  </si>
  <si>
    <t>סבתא</t>
  </si>
  <si>
    <t>2,550</t>
  </si>
  <si>
    <t>2,100</t>
  </si>
  <si>
    <t>סה"כ בדף</t>
  </si>
  <si>
    <t>174,285</t>
  </si>
  <si>
    <t>4,904</t>
  </si>
  <si>
    <t>210,004</t>
  </si>
  <si>
    <t>טבלת פריסת חובות</t>
  </si>
  <si>
    <t>04-23</t>
  </si>
  <si>
    <t>05-23</t>
  </si>
  <si>
    <t>06-23</t>
  </si>
  <si>
    <t>07-23</t>
  </si>
  <si>
    <t>08-23</t>
  </si>
  <si>
    <t>09-23</t>
  </si>
  <si>
    <t>10-23</t>
  </si>
  <si>
    <t>11-23</t>
  </si>
  <si>
    <t>12-23</t>
  </si>
  <si>
    <t>01-24</t>
  </si>
  <si>
    <t>02-24</t>
  </si>
  <si>
    <t>03-24</t>
  </si>
  <si>
    <t>04-24</t>
  </si>
  <si>
    <t>05-24</t>
  </si>
  <si>
    <t>06-24</t>
  </si>
  <si>
    <t>07-24</t>
  </si>
  <si>
    <t>08-24</t>
  </si>
  <si>
    <t>09-24</t>
  </si>
  <si>
    <t>10-24</t>
  </si>
  <si>
    <t>11-24</t>
  </si>
  <si>
    <t>12-24</t>
  </si>
  <si>
    <t>01-25</t>
  </si>
  <si>
    <t>02-25</t>
  </si>
  <si>
    <t>03-25</t>
  </si>
  <si>
    <t>04-25</t>
  </si>
  <si>
    <t>05-25</t>
  </si>
  <si>
    <t>06-25</t>
  </si>
  <si>
    <t>07-25</t>
  </si>
  <si>
    <t>08-25</t>
  </si>
  <si>
    <t>09-25</t>
  </si>
  <si>
    <t>10-25</t>
  </si>
  <si>
    <t>11-25</t>
  </si>
  <si>
    <t>12-25</t>
  </si>
  <si>
    <t>01-26</t>
  </si>
  <si>
    <t>02-26</t>
  </si>
  <si>
    <t>03-26</t>
  </si>
  <si>
    <t>04-26</t>
  </si>
  <si>
    <t>05-26</t>
  </si>
  <si>
    <t>06-26</t>
  </si>
  <si>
    <t>07-26</t>
  </si>
  <si>
    <t>08-26</t>
  </si>
  <si>
    <t>09-26</t>
  </si>
  <si>
    <t>10-26</t>
  </si>
  <si>
    <t>11-26</t>
  </si>
  <si>
    <t>12-26</t>
  </si>
  <si>
    <t>01-27</t>
  </si>
  <si>
    <t>02-27</t>
  </si>
  <si>
    <t>03-27</t>
  </si>
  <si>
    <t>04-27</t>
  </si>
  <si>
    <t>05-27</t>
  </si>
  <si>
    <t>06-27</t>
  </si>
  <si>
    <t>07-27</t>
  </si>
  <si>
    <t>08-27</t>
  </si>
  <si>
    <t>09-27</t>
  </si>
  <si>
    <t>10-27</t>
  </si>
  <si>
    <t>11-27</t>
  </si>
  <si>
    <t>12-27</t>
  </si>
  <si>
    <t>01-28</t>
  </si>
  <si>
    <t>02-28</t>
  </si>
  <si>
    <t>03-28</t>
  </si>
  <si>
    <t>04-28</t>
  </si>
  <si>
    <t>05-28</t>
  </si>
  <si>
    <t>06-28</t>
  </si>
  <si>
    <t>07-28</t>
  </si>
  <si>
    <t>08-28</t>
  </si>
  <si>
    <t>09-28</t>
  </si>
  <si>
    <t>10-28</t>
  </si>
  <si>
    <t>11-28</t>
  </si>
  <si>
    <t>12-28</t>
  </si>
  <si>
    <t>01-29</t>
  </si>
  <si>
    <t>02-29</t>
  </si>
  <si>
    <t>03-29</t>
  </si>
  <si>
    <t>04-29</t>
  </si>
  <si>
    <t>05-29</t>
  </si>
  <si>
    <t>06-29</t>
  </si>
  <si>
    <t>07-29</t>
  </si>
  <si>
    <t>08-29</t>
  </si>
  <si>
    <t>09-29</t>
  </si>
  <si>
    <t>10-29</t>
  </si>
  <si>
    <t>11-29</t>
  </si>
  <si>
    <t>12-29</t>
  </si>
  <si>
    <t>01-30</t>
  </si>
  <si>
    <t>02-30</t>
  </si>
  <si>
    <t>יתרת החוב</t>
  </si>
  <si>
    <t>סה"כ</t>
  </si>
  <si>
    <t>בנק מזרחי  (89704)</t>
  </si>
  <si>
    <t>הלוואה 1 מישראכרט (24000)</t>
  </si>
  <si>
    <t>ויזה כאל 1552 (17356)</t>
  </si>
  <si>
    <t>ויזה מקס 2245 (33679)</t>
  </si>
  <si>
    <t>ויזה מקס 3920 (6496)</t>
  </si>
  <si>
    <t>חוב לעמית (500)</t>
  </si>
  <si>
    <t>סבתא (2550)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</si>
</sst>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Arial"/>
      <family val="1"/>
    </font>
    <font>
      <b/>
      <sz val="12"/>
      <color rgb="FFFFFFFF"/>
      <name val="Arial"/>
      <family val="1"/>
    </font>
    <font>
      <b/>
      <sz val="12"/>
      <color rgb="FF000000"/>
      <name val="Arial"/>
      <family val="1"/>
    </font>
    <font>
      <b/>
      <sz val="14"/>
      <color rgb="FFFF8000"/>
      <name val="Arial"/>
      <family val="1"/>
    </font>
  </fonts>
  <fills count="4">
    <fill>
      <patternFill patternType="none"/>
    </fill>
    <fill>
      <patternFill patternType="gray125"/>
    </fill>
    <fill>
      <patternFill patternType="solid">
        <fgColor rgb="FF004586"/>
      </patternFill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0" fillId="0" borderId="0" xfId="0" applyAlignment="1">
      <alignment horizontal="right"/>
    </xf>
    <xf numFmtId="0" fontId="3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rightToLeft="1" tabSelected="1" showOutlineSymbols="0" showWhiteSpace="0" workbookViewId="0">
      <selection activeCell="B6" sqref="B6"/>
    </sheetView>
  </sheetViews>
  <sheetFormatPr defaultRowHeight="13.8" x14ac:dyDescent="0.25"/>
  <cols>
    <col min="1" max="1" width="60.8984375" bestFit="1" customWidth="1"/>
    <col min="2" max="2" width="27" bestFit="1" customWidth="1"/>
    <col min="3" max="4" width="21.59765625" bestFit="1" customWidth="1"/>
    <col min="5" max="5" width="23.3984375" bestFit="1" customWidth="1"/>
    <col min="6" max="6" width="37.796875" bestFit="1" customWidth="1"/>
    <col min="7" max="7" width="45" bestFit="1" customWidth="1"/>
    <col min="8" max="8" width="25.19921875" bestFit="1" customWidth="1"/>
    <col min="9" max="9" width="99" bestFit="1" customWidth="1"/>
  </cols>
  <sheetData>
    <row r="1" spans="1:9" ht="17.399999999999999" x14ac:dyDescent="0.3">
      <c r="A1" s="5" t="s">
        <v>0</v>
      </c>
      <c r="B1" s="6"/>
      <c r="C1" s="6"/>
      <c r="D1" s="6"/>
      <c r="E1" s="6"/>
    </row>
    <row r="2" spans="1:9" x14ac:dyDescent="0.25">
      <c r="A2" t="s">
        <v>1</v>
      </c>
      <c r="B2" s="1">
        <v>46153</v>
      </c>
    </row>
    <row r="3" spans="1:9" x14ac:dyDescent="0.25">
      <c r="A3" t="s">
        <v>2</v>
      </c>
    </row>
    <row r="4" spans="1:9" x14ac:dyDescent="0.25">
      <c r="A4" t="s">
        <v>3</v>
      </c>
    </row>
    <row r="5" spans="1:9" x14ac:dyDescent="0.25">
      <c r="A5" t="s">
        <v>4</v>
      </c>
    </row>
    <row r="6" spans="1:9" x14ac:dyDescent="0.25">
      <c r="A6" t="s">
        <v>5</v>
      </c>
    </row>
    <row r="9" spans="1:9" ht="15.6" x14ac:dyDescent="0.25">
      <c r="A9" s="2" t="s">
        <v>6</v>
      </c>
      <c r="B9" s="2" t="s">
        <v>7</v>
      </c>
      <c r="C9" s="2" t="s">
        <v>8</v>
      </c>
      <c r="D9" s="2" t="s">
        <v>9</v>
      </c>
      <c r="E9" s="2" t="s">
        <v>10</v>
      </c>
      <c r="F9" s="2" t="s">
        <v>11</v>
      </c>
      <c r="G9" s="2" t="s">
        <v>12</v>
      </c>
      <c r="H9" s="2" t="s">
        <v>13</v>
      </c>
      <c r="I9" s="2" t="s">
        <v>14</v>
      </c>
    </row>
    <row r="10" spans="1:9" x14ac:dyDescent="0.25">
      <c r="A10" s="4" t="s">
        <v>15</v>
      </c>
      <c r="B10" s="4" t="s">
        <v>16</v>
      </c>
      <c r="C10" s="4" t="s">
        <v>17</v>
      </c>
      <c r="D10" s="4" t="s">
        <v>18</v>
      </c>
      <c r="E10" s="4" t="s">
        <v>19</v>
      </c>
      <c r="F10" s="4">
        <v>46</v>
      </c>
      <c r="G10" s="4" t="s">
        <v>20</v>
      </c>
      <c r="H10" s="4" t="s">
        <v>21</v>
      </c>
      <c r="I10" s="4" t="s">
        <v>22</v>
      </c>
    </row>
    <row r="11" spans="1:9" x14ac:dyDescent="0.25">
      <c r="A11" s="4" t="s">
        <v>23</v>
      </c>
      <c r="B11" s="4" t="s">
        <v>24</v>
      </c>
      <c r="C11" s="4" t="s">
        <v>25</v>
      </c>
      <c r="D11" s="4" t="s">
        <v>26</v>
      </c>
      <c r="E11" s="4" t="s">
        <v>27</v>
      </c>
      <c r="F11" s="4">
        <v>46</v>
      </c>
      <c r="G11" s="4">
        <v>794</v>
      </c>
      <c r="H11" s="4" t="s">
        <v>28</v>
      </c>
      <c r="I11" s="4" t="s">
        <v>29</v>
      </c>
    </row>
    <row r="12" spans="1:9" x14ac:dyDescent="0.25">
      <c r="A12" s="4" t="s">
        <v>30</v>
      </c>
      <c r="B12" s="4" t="s">
        <v>24</v>
      </c>
      <c r="C12" s="4" t="s">
        <v>31</v>
      </c>
      <c r="D12" s="4" t="s">
        <v>32</v>
      </c>
      <c r="E12" s="4" t="s">
        <v>33</v>
      </c>
      <c r="F12" s="4">
        <v>34</v>
      </c>
      <c r="G12" s="4">
        <v>500</v>
      </c>
      <c r="H12" s="4" t="s">
        <v>34</v>
      </c>
      <c r="I12" s="4" t="s">
        <v>35</v>
      </c>
    </row>
    <row r="13" spans="1:9" x14ac:dyDescent="0.25">
      <c r="A13" s="4" t="s">
        <v>36</v>
      </c>
      <c r="B13" s="4" t="s">
        <v>24</v>
      </c>
      <c r="C13" s="4" t="s">
        <v>37</v>
      </c>
      <c r="D13" s="4" t="s">
        <v>32</v>
      </c>
      <c r="E13" s="4" t="s">
        <v>38</v>
      </c>
      <c r="F13" s="4">
        <v>43</v>
      </c>
      <c r="G13" s="4">
        <v>760</v>
      </c>
      <c r="H13" s="4" t="s">
        <v>39</v>
      </c>
      <c r="I13" s="4" t="s">
        <v>40</v>
      </c>
    </row>
    <row r="14" spans="1:9" x14ac:dyDescent="0.25">
      <c r="A14" s="4" t="s">
        <v>41</v>
      </c>
      <c r="B14" s="4" t="s">
        <v>24</v>
      </c>
      <c r="C14" s="4" t="s">
        <v>42</v>
      </c>
      <c r="D14" s="4" t="s">
        <v>32</v>
      </c>
      <c r="E14" s="4" t="s">
        <v>38</v>
      </c>
      <c r="F14" s="4">
        <v>31</v>
      </c>
      <c r="G14" s="4">
        <v>200</v>
      </c>
      <c r="H14" s="4" t="s">
        <v>43</v>
      </c>
      <c r="I14" s="4" t="s">
        <v>44</v>
      </c>
    </row>
    <row r="15" spans="1:9" x14ac:dyDescent="0.25">
      <c r="A15" s="4" t="s">
        <v>45</v>
      </c>
      <c r="B15" s="4" t="s">
        <v>46</v>
      </c>
      <c r="C15" s="4">
        <v>500</v>
      </c>
      <c r="D15" s="4" t="s">
        <v>47</v>
      </c>
      <c r="E15" s="4" t="s">
        <v>22</v>
      </c>
      <c r="F15" s="4" t="s">
        <v>22</v>
      </c>
      <c r="G15" s="4" t="s">
        <v>22</v>
      </c>
      <c r="H15" s="4">
        <v>500</v>
      </c>
      <c r="I15" s="4" t="s">
        <v>22</v>
      </c>
    </row>
    <row r="16" spans="1:9" x14ac:dyDescent="0.25">
      <c r="A16" s="4" t="s">
        <v>48</v>
      </c>
      <c r="B16" s="4" t="s">
        <v>46</v>
      </c>
      <c r="C16" s="4" t="s">
        <v>49</v>
      </c>
      <c r="D16" s="4" t="s">
        <v>47</v>
      </c>
      <c r="E16" s="4" t="s">
        <v>22</v>
      </c>
      <c r="F16" s="4">
        <v>14</v>
      </c>
      <c r="G16" s="4">
        <v>150</v>
      </c>
      <c r="H16" s="4" t="s">
        <v>50</v>
      </c>
      <c r="I16" s="4" t="s">
        <v>22</v>
      </c>
    </row>
    <row r="17" spans="1:8" ht="15.6" x14ac:dyDescent="0.25">
      <c r="A17" s="3" t="s">
        <v>51</v>
      </c>
      <c r="B17" s="3" t="s">
        <v>22</v>
      </c>
      <c r="C17" s="3" t="s">
        <v>52</v>
      </c>
      <c r="D17" s="3" t="s">
        <v>22</v>
      </c>
      <c r="E17" s="3" t="s">
        <v>22</v>
      </c>
      <c r="F17" s="3" t="s">
        <v>22</v>
      </c>
      <c r="G17" s="3" t="s">
        <v>53</v>
      </c>
      <c r="H17" s="3" t="s">
        <v>54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H12"/>
  <sheetViews>
    <sheetView rightToLeft="1" showOutlineSymbols="0" showWhiteSpace="0" workbookViewId="0"/>
  </sheetViews>
  <sheetFormatPr defaultRowHeight="13.8" x14ac:dyDescent="0.25"/>
  <cols>
    <col min="1" max="1" width="39.8984375" bestFit="1" customWidth="1"/>
    <col min="2" max="84" width="14.3984375" bestFit="1" customWidth="1"/>
    <col min="85" max="85" width="21.59765625" bestFit="1" customWidth="1"/>
    <col min="86" max="86" width="12.59765625" bestFit="1" customWidth="1"/>
  </cols>
  <sheetData>
    <row r="1" spans="1:86" ht="17.399999999999999" x14ac:dyDescent="0.3">
      <c r="A1" s="5" t="s">
        <v>55</v>
      </c>
      <c r="B1" s="6"/>
      <c r="C1" s="6"/>
      <c r="D1" s="6"/>
      <c r="E1" s="6"/>
    </row>
    <row r="4" spans="1:86" ht="15.6" x14ac:dyDescent="0.25">
      <c r="A4" s="2" t="s">
        <v>22</v>
      </c>
      <c r="B4" s="2" t="s">
        <v>56</v>
      </c>
      <c r="C4" s="2" t="s">
        <v>57</v>
      </c>
      <c r="D4" s="2" t="s">
        <v>58</v>
      </c>
      <c r="E4" s="2" t="s">
        <v>59</v>
      </c>
      <c r="F4" s="2" t="s">
        <v>60</v>
      </c>
      <c r="G4" s="2" t="s">
        <v>61</v>
      </c>
      <c r="H4" s="2" t="s">
        <v>62</v>
      </c>
      <c r="I4" s="2" t="s">
        <v>63</v>
      </c>
      <c r="J4" s="2" t="s">
        <v>64</v>
      </c>
      <c r="K4" s="2" t="s">
        <v>65</v>
      </c>
      <c r="L4" s="2" t="s">
        <v>66</v>
      </c>
      <c r="M4" s="2" t="s">
        <v>67</v>
      </c>
      <c r="N4" s="2" t="s">
        <v>68</v>
      </c>
      <c r="O4" s="2" t="s">
        <v>69</v>
      </c>
      <c r="P4" s="2" t="s">
        <v>70</v>
      </c>
      <c r="Q4" s="2" t="s">
        <v>71</v>
      </c>
      <c r="R4" s="2" t="s">
        <v>72</v>
      </c>
      <c r="S4" s="2" t="s">
        <v>73</v>
      </c>
      <c r="T4" s="2" t="s">
        <v>74</v>
      </c>
      <c r="U4" s="2" t="s">
        <v>75</v>
      </c>
      <c r="V4" s="2" t="s">
        <v>76</v>
      </c>
      <c r="W4" s="2" t="s">
        <v>77</v>
      </c>
      <c r="X4" s="2" t="s">
        <v>78</v>
      </c>
      <c r="Y4" s="2" t="s">
        <v>79</v>
      </c>
      <c r="Z4" s="2" t="s">
        <v>80</v>
      </c>
      <c r="AA4" s="2" t="s">
        <v>81</v>
      </c>
      <c r="AB4" s="2" t="s">
        <v>82</v>
      </c>
      <c r="AC4" s="2" t="s">
        <v>83</v>
      </c>
      <c r="AD4" s="2" t="s">
        <v>84</v>
      </c>
      <c r="AE4" s="2" t="s">
        <v>85</v>
      </c>
      <c r="AF4" s="2" t="s">
        <v>86</v>
      </c>
      <c r="AG4" s="2" t="s">
        <v>87</v>
      </c>
      <c r="AH4" s="2" t="s">
        <v>88</v>
      </c>
      <c r="AI4" s="2" t="s">
        <v>89</v>
      </c>
      <c r="AJ4" s="2" t="s">
        <v>90</v>
      </c>
      <c r="AK4" s="2" t="s">
        <v>91</v>
      </c>
      <c r="AL4" s="2" t="s">
        <v>92</v>
      </c>
      <c r="AM4" s="2" t="s">
        <v>93</v>
      </c>
      <c r="AN4" s="2" t="s">
        <v>94</v>
      </c>
      <c r="AO4" s="2" t="s">
        <v>95</v>
      </c>
      <c r="AP4" s="2" t="s">
        <v>96</v>
      </c>
      <c r="AQ4" s="2" t="s">
        <v>97</v>
      </c>
      <c r="AR4" s="2" t="s">
        <v>98</v>
      </c>
      <c r="AS4" s="2" t="s">
        <v>99</v>
      </c>
      <c r="AT4" s="2" t="s">
        <v>100</v>
      </c>
      <c r="AU4" s="2" t="s">
        <v>101</v>
      </c>
      <c r="AV4" s="2" t="s">
        <v>102</v>
      </c>
      <c r="AW4" s="2" t="s">
        <v>103</v>
      </c>
      <c r="AX4" s="2" t="s">
        <v>104</v>
      </c>
      <c r="AY4" s="2" t="s">
        <v>105</v>
      </c>
      <c r="AZ4" s="2" t="s">
        <v>106</v>
      </c>
      <c r="BA4" s="2" t="s">
        <v>107</v>
      </c>
      <c r="BB4" s="2" t="s">
        <v>108</v>
      </c>
      <c r="BC4" s="2" t="s">
        <v>109</v>
      </c>
      <c r="BD4" s="2" t="s">
        <v>110</v>
      </c>
      <c r="BE4" s="2" t="s">
        <v>111</v>
      </c>
      <c r="BF4" s="2" t="s">
        <v>112</v>
      </c>
      <c r="BG4" s="2" t="s">
        <v>113</v>
      </c>
      <c r="BH4" s="2" t="s">
        <v>114</v>
      </c>
      <c r="BI4" s="2" t="s">
        <v>115</v>
      </c>
      <c r="BJ4" s="2" t="s">
        <v>116</v>
      </c>
      <c r="BK4" s="2" t="s">
        <v>117</v>
      </c>
      <c r="BL4" s="2" t="s">
        <v>118</v>
      </c>
      <c r="BM4" s="2" t="s">
        <v>119</v>
      </c>
      <c r="BN4" s="2" t="s">
        <v>120</v>
      </c>
      <c r="BO4" s="2" t="s">
        <v>121</v>
      </c>
      <c r="BP4" s="2" t="s">
        <v>122</v>
      </c>
      <c r="BQ4" s="2" t="s">
        <v>123</v>
      </c>
      <c r="BR4" s="2" t="s">
        <v>124</v>
      </c>
      <c r="BS4" s="2" t="s">
        <v>125</v>
      </c>
      <c r="BT4" s="2" t="s">
        <v>126</v>
      </c>
      <c r="BU4" s="2" t="s">
        <v>127</v>
      </c>
      <c r="BV4" s="2" t="s">
        <v>128</v>
      </c>
      <c r="BW4" s="2" t="s">
        <v>129</v>
      </c>
      <c r="BX4" s="2" t="s">
        <v>130</v>
      </c>
      <c r="BY4" s="2" t="s">
        <v>131</v>
      </c>
      <c r="BZ4" s="2" t="s">
        <v>132</v>
      </c>
      <c r="CA4" s="2" t="s">
        <v>133</v>
      </c>
      <c r="CB4" s="2" t="s">
        <v>134</v>
      </c>
      <c r="CC4" s="2" t="s">
        <v>135</v>
      </c>
      <c r="CD4" s="2" t="s">
        <v>136</v>
      </c>
      <c r="CE4" s="2" t="s">
        <v>137</v>
      </c>
      <c r="CF4" s="2" t="s">
        <v>138</v>
      </c>
      <c r="CG4" s="2" t="s">
        <v>139</v>
      </c>
      <c r="CH4" s="2" t="s">
        <v>140</v>
      </c>
    </row>
    <row r="5" spans="1:86" x14ac:dyDescent="0.25">
      <c r="A5" s="4" t="s">
        <v>141</v>
      </c>
      <c r="B5" s="4">
        <v>2570</v>
      </c>
      <c r="C5" s="4">
        <v>2570</v>
      </c>
      <c r="D5" s="4">
        <v>2570</v>
      </c>
      <c r="E5" s="4">
        <v>2570</v>
      </c>
      <c r="F5" s="4">
        <v>2570</v>
      </c>
      <c r="G5" s="4">
        <v>2570</v>
      </c>
      <c r="H5" s="4">
        <v>2570</v>
      </c>
      <c r="I5" s="4">
        <v>2570</v>
      </c>
      <c r="J5" s="4">
        <v>2570</v>
      </c>
      <c r="K5" s="4">
        <v>2570</v>
      </c>
      <c r="L5" s="4">
        <v>2570</v>
      </c>
      <c r="M5" s="4">
        <v>2570</v>
      </c>
      <c r="N5" s="4">
        <v>2570</v>
      </c>
      <c r="O5" s="4">
        <v>2570</v>
      </c>
      <c r="P5" s="4">
        <v>2570</v>
      </c>
      <c r="Q5" s="4">
        <v>2570</v>
      </c>
      <c r="R5" s="4">
        <v>2570</v>
      </c>
      <c r="S5" s="4">
        <v>2570</v>
      </c>
      <c r="T5" s="4">
        <v>2570</v>
      </c>
      <c r="U5" s="4">
        <v>2570</v>
      </c>
      <c r="V5" s="4">
        <v>2570</v>
      </c>
      <c r="W5" s="4">
        <v>2570</v>
      </c>
      <c r="X5" s="4">
        <v>2570</v>
      </c>
      <c r="Y5" s="4">
        <v>2570</v>
      </c>
      <c r="Z5" s="4">
        <v>2570</v>
      </c>
      <c r="AA5" s="4">
        <v>2570</v>
      </c>
      <c r="AB5" s="4">
        <v>2570</v>
      </c>
      <c r="AC5" s="4">
        <v>2570</v>
      </c>
      <c r="AD5" s="4">
        <v>2570</v>
      </c>
      <c r="AE5" s="4">
        <v>2570</v>
      </c>
      <c r="AF5" s="4">
        <v>2570</v>
      </c>
      <c r="AG5" s="4">
        <v>2570</v>
      </c>
      <c r="AH5" s="4">
        <v>2570</v>
      </c>
      <c r="AI5" s="4">
        <v>2570</v>
      </c>
      <c r="AJ5" s="4">
        <v>2570</v>
      </c>
      <c r="AK5" s="4">
        <v>2570</v>
      </c>
      <c r="AL5" s="4">
        <v>2500</v>
      </c>
      <c r="AM5" s="4">
        <v>2500</v>
      </c>
      <c r="AN5" s="4">
        <v>2500</v>
      </c>
      <c r="AO5" s="4">
        <v>2500</v>
      </c>
      <c r="AP5" s="4">
        <v>2500</v>
      </c>
      <c r="AQ5" s="4">
        <v>2500</v>
      </c>
      <c r="AR5" s="4">
        <v>2500</v>
      </c>
      <c r="AS5" s="4">
        <v>2500</v>
      </c>
      <c r="AT5" s="4">
        <v>2500</v>
      </c>
      <c r="AU5" s="4">
        <v>2500</v>
      </c>
      <c r="AV5" s="4">
        <v>2500</v>
      </c>
      <c r="AW5" s="4">
        <v>2500</v>
      </c>
      <c r="AX5" s="4">
        <v>2500</v>
      </c>
      <c r="AY5" s="4">
        <v>2500</v>
      </c>
      <c r="AZ5" s="4">
        <v>2500</v>
      </c>
      <c r="BA5" s="4">
        <v>2500</v>
      </c>
      <c r="BB5" s="4">
        <v>2500</v>
      </c>
      <c r="BC5" s="4">
        <v>2500</v>
      </c>
      <c r="BD5" s="4">
        <v>2500</v>
      </c>
      <c r="BE5" s="4">
        <v>2500</v>
      </c>
      <c r="BF5" s="4">
        <v>2500</v>
      </c>
      <c r="BG5" s="4">
        <v>2500</v>
      </c>
      <c r="BH5" s="4">
        <v>2500</v>
      </c>
      <c r="BI5" s="4">
        <v>2500</v>
      </c>
      <c r="BJ5" s="4">
        <v>2500</v>
      </c>
      <c r="BK5" s="4">
        <v>2500</v>
      </c>
      <c r="BL5" s="4">
        <v>2500</v>
      </c>
      <c r="BM5" s="4">
        <v>2500</v>
      </c>
      <c r="BN5" s="4">
        <v>2500</v>
      </c>
      <c r="BO5" s="4">
        <v>2500</v>
      </c>
      <c r="BP5" s="4">
        <v>2500</v>
      </c>
      <c r="BQ5" s="4">
        <v>2500</v>
      </c>
      <c r="BR5" s="4">
        <v>2500</v>
      </c>
      <c r="BS5" s="4">
        <v>2500</v>
      </c>
      <c r="BT5" s="4">
        <v>2500</v>
      </c>
      <c r="BU5" s="4">
        <v>2500</v>
      </c>
      <c r="BV5" s="4">
        <v>2500</v>
      </c>
      <c r="BW5" s="4">
        <v>2500</v>
      </c>
      <c r="BX5" s="4">
        <v>2500</v>
      </c>
      <c r="BY5" s="4">
        <v>2500</v>
      </c>
      <c r="BZ5" s="4">
        <v>2500</v>
      </c>
      <c r="CA5" s="4">
        <v>2500</v>
      </c>
      <c r="CB5" s="4">
        <v>2500</v>
      </c>
      <c r="CC5" s="4">
        <v>2500</v>
      </c>
      <c r="CD5" s="4">
        <v>2500</v>
      </c>
      <c r="CE5" s="4">
        <v>2500</v>
      </c>
      <c r="CF5" s="4">
        <v>2500</v>
      </c>
      <c r="CG5" s="4">
        <v>115000</v>
      </c>
      <c r="CH5" s="4">
        <v>210020</v>
      </c>
    </row>
    <row r="6" spans="1:86" x14ac:dyDescent="0.25">
      <c r="A6" s="4" t="s">
        <v>142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794</v>
      </c>
      <c r="AL6" s="4">
        <v>794</v>
      </c>
      <c r="AM6" s="4">
        <v>794</v>
      </c>
      <c r="AN6" s="4">
        <v>794</v>
      </c>
      <c r="AO6" s="4">
        <v>794</v>
      </c>
      <c r="AP6" s="4">
        <v>794</v>
      </c>
      <c r="AQ6" s="4">
        <v>794</v>
      </c>
      <c r="AR6" s="4">
        <v>794</v>
      </c>
      <c r="AS6" s="4">
        <v>794</v>
      </c>
      <c r="AT6" s="4">
        <v>794</v>
      </c>
      <c r="AU6" s="4">
        <v>794</v>
      </c>
      <c r="AV6" s="4">
        <v>794</v>
      </c>
      <c r="AW6" s="4">
        <v>794</v>
      </c>
      <c r="AX6" s="4">
        <v>794</v>
      </c>
      <c r="AY6" s="4">
        <v>794</v>
      </c>
      <c r="AZ6" s="4">
        <v>794</v>
      </c>
      <c r="BA6" s="4">
        <v>794</v>
      </c>
      <c r="BB6" s="4">
        <v>794</v>
      </c>
      <c r="BC6" s="4">
        <v>794</v>
      </c>
      <c r="BD6" s="4">
        <v>794</v>
      </c>
      <c r="BE6" s="4">
        <v>794</v>
      </c>
      <c r="BF6" s="4">
        <v>794</v>
      </c>
      <c r="BG6" s="4">
        <v>794</v>
      </c>
      <c r="BH6" s="4">
        <v>794</v>
      </c>
      <c r="BI6" s="4">
        <v>794</v>
      </c>
      <c r="BJ6" s="4">
        <v>794</v>
      </c>
      <c r="BK6" s="4">
        <v>794</v>
      </c>
      <c r="BL6" s="4">
        <v>794</v>
      </c>
      <c r="BM6" s="4">
        <v>794</v>
      </c>
      <c r="BN6" s="4">
        <v>794</v>
      </c>
      <c r="BO6" s="4">
        <v>794</v>
      </c>
      <c r="BP6" s="4">
        <v>794</v>
      </c>
      <c r="BQ6" s="4">
        <v>794</v>
      </c>
      <c r="BR6" s="4">
        <v>794</v>
      </c>
      <c r="BS6" s="4">
        <v>794</v>
      </c>
      <c r="BT6" s="4">
        <v>794</v>
      </c>
      <c r="BU6" s="4">
        <v>794</v>
      </c>
      <c r="BV6" s="4">
        <v>794</v>
      </c>
      <c r="BW6" s="4">
        <v>794</v>
      </c>
      <c r="BX6" s="4">
        <v>794</v>
      </c>
      <c r="BY6" s="4">
        <v>794</v>
      </c>
      <c r="BZ6" s="4">
        <v>794</v>
      </c>
      <c r="CA6" s="4">
        <v>794</v>
      </c>
      <c r="CB6" s="4">
        <v>794</v>
      </c>
      <c r="CC6" s="4">
        <v>794</v>
      </c>
      <c r="CD6" s="4">
        <v>794</v>
      </c>
      <c r="CE6" s="4">
        <v>794</v>
      </c>
      <c r="CF6" s="4">
        <v>794</v>
      </c>
      <c r="CG6" s="4">
        <v>36524</v>
      </c>
      <c r="CH6" s="4">
        <v>38112</v>
      </c>
    </row>
    <row r="7" spans="1:86" x14ac:dyDescent="0.25">
      <c r="A7" s="4" t="s">
        <v>143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500</v>
      </c>
      <c r="AL7" s="4">
        <v>500</v>
      </c>
      <c r="AM7" s="4">
        <v>500</v>
      </c>
      <c r="AN7" s="4">
        <v>500</v>
      </c>
      <c r="AO7" s="4">
        <v>500</v>
      </c>
      <c r="AP7" s="4">
        <v>500</v>
      </c>
      <c r="AQ7" s="4">
        <v>500</v>
      </c>
      <c r="AR7" s="4">
        <v>500</v>
      </c>
      <c r="AS7" s="4">
        <v>500</v>
      </c>
      <c r="AT7" s="4">
        <v>500</v>
      </c>
      <c r="AU7" s="4">
        <v>500</v>
      </c>
      <c r="AV7" s="4">
        <v>500</v>
      </c>
      <c r="AW7" s="4">
        <v>500</v>
      </c>
      <c r="AX7" s="4">
        <v>500</v>
      </c>
      <c r="AY7" s="4">
        <v>500</v>
      </c>
      <c r="AZ7" s="4">
        <v>500</v>
      </c>
      <c r="BA7" s="4">
        <v>500</v>
      </c>
      <c r="BB7" s="4">
        <v>500</v>
      </c>
      <c r="BC7" s="4">
        <v>500</v>
      </c>
      <c r="BD7" s="4">
        <v>500</v>
      </c>
      <c r="BE7" s="4">
        <v>500</v>
      </c>
      <c r="BF7" s="4">
        <v>500</v>
      </c>
      <c r="BG7" s="4">
        <v>500</v>
      </c>
      <c r="BH7" s="4">
        <v>500</v>
      </c>
      <c r="BI7" s="4">
        <v>500</v>
      </c>
      <c r="BJ7" s="4">
        <v>500</v>
      </c>
      <c r="BK7" s="4">
        <v>500</v>
      </c>
      <c r="BL7" s="4">
        <v>500</v>
      </c>
      <c r="BM7" s="4">
        <v>500</v>
      </c>
      <c r="BN7" s="4">
        <v>500</v>
      </c>
      <c r="BO7" s="4">
        <v>500</v>
      </c>
      <c r="BP7" s="4">
        <v>500</v>
      </c>
      <c r="BQ7" s="4">
        <v>500</v>
      </c>
      <c r="BR7" s="4">
        <v>500</v>
      </c>
      <c r="BS7" s="4">
        <v>500</v>
      </c>
      <c r="BT7" s="4">
        <v>500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17000</v>
      </c>
      <c r="CH7" s="4">
        <v>18000</v>
      </c>
    </row>
    <row r="8" spans="1:86" x14ac:dyDescent="0.25">
      <c r="A8" s="4" t="s">
        <v>144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760</v>
      </c>
      <c r="AL8" s="4">
        <v>760</v>
      </c>
      <c r="AM8" s="4">
        <v>760</v>
      </c>
      <c r="AN8" s="4">
        <v>760</v>
      </c>
      <c r="AO8" s="4">
        <v>760</v>
      </c>
      <c r="AP8" s="4">
        <v>760</v>
      </c>
      <c r="AQ8" s="4">
        <v>760</v>
      </c>
      <c r="AR8" s="4">
        <v>760</v>
      </c>
      <c r="AS8" s="4">
        <v>760</v>
      </c>
      <c r="AT8" s="4">
        <v>760</v>
      </c>
      <c r="AU8" s="4">
        <v>760</v>
      </c>
      <c r="AV8" s="4">
        <v>760</v>
      </c>
      <c r="AW8" s="4">
        <v>760</v>
      </c>
      <c r="AX8" s="4">
        <v>760</v>
      </c>
      <c r="AY8" s="4">
        <v>760</v>
      </c>
      <c r="AZ8" s="4">
        <v>760</v>
      </c>
      <c r="BA8" s="4">
        <v>760</v>
      </c>
      <c r="BB8" s="4">
        <v>760</v>
      </c>
      <c r="BC8" s="4">
        <v>760</v>
      </c>
      <c r="BD8" s="4">
        <v>760</v>
      </c>
      <c r="BE8" s="4">
        <v>760</v>
      </c>
      <c r="BF8" s="4">
        <v>760</v>
      </c>
      <c r="BG8" s="4">
        <v>760</v>
      </c>
      <c r="BH8" s="4">
        <v>760</v>
      </c>
      <c r="BI8" s="4">
        <v>760</v>
      </c>
      <c r="BJ8" s="4">
        <v>760</v>
      </c>
      <c r="BK8" s="4">
        <v>760</v>
      </c>
      <c r="BL8" s="4">
        <v>760</v>
      </c>
      <c r="BM8" s="4">
        <v>760</v>
      </c>
      <c r="BN8" s="4">
        <v>760</v>
      </c>
      <c r="BO8" s="4">
        <v>760</v>
      </c>
      <c r="BP8" s="4">
        <v>760</v>
      </c>
      <c r="BQ8" s="4">
        <v>760</v>
      </c>
      <c r="BR8" s="4">
        <v>760</v>
      </c>
      <c r="BS8" s="4">
        <v>760</v>
      </c>
      <c r="BT8" s="4">
        <v>760</v>
      </c>
      <c r="BU8" s="4">
        <v>760</v>
      </c>
      <c r="BV8" s="4">
        <v>760</v>
      </c>
      <c r="BW8" s="4">
        <v>760</v>
      </c>
      <c r="BX8" s="4">
        <v>760</v>
      </c>
      <c r="BY8" s="4">
        <v>760</v>
      </c>
      <c r="BZ8" s="4">
        <v>760</v>
      </c>
      <c r="CA8" s="4">
        <v>760</v>
      </c>
      <c r="CB8" s="4">
        <v>760</v>
      </c>
      <c r="CC8" s="4">
        <v>760</v>
      </c>
      <c r="CD8" s="4">
        <v>0</v>
      </c>
      <c r="CE8" s="4">
        <v>0</v>
      </c>
      <c r="CF8" s="4">
        <v>0</v>
      </c>
      <c r="CG8" s="4">
        <v>32680</v>
      </c>
      <c r="CH8" s="4">
        <v>34200</v>
      </c>
    </row>
    <row r="9" spans="1:86" x14ac:dyDescent="0.25">
      <c r="A9" s="4" t="s">
        <v>145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200</v>
      </c>
      <c r="AL9" s="4">
        <v>200</v>
      </c>
      <c r="AM9" s="4">
        <v>200</v>
      </c>
      <c r="AN9" s="4">
        <v>200</v>
      </c>
      <c r="AO9" s="4">
        <v>200</v>
      </c>
      <c r="AP9" s="4">
        <v>200</v>
      </c>
      <c r="AQ9" s="4">
        <v>200</v>
      </c>
      <c r="AR9" s="4">
        <v>200</v>
      </c>
      <c r="AS9" s="4">
        <v>200</v>
      </c>
      <c r="AT9" s="4">
        <v>200</v>
      </c>
      <c r="AU9" s="4">
        <v>200</v>
      </c>
      <c r="AV9" s="4">
        <v>200</v>
      </c>
      <c r="AW9" s="4">
        <v>200</v>
      </c>
      <c r="AX9" s="4">
        <v>200</v>
      </c>
      <c r="AY9" s="4">
        <v>200</v>
      </c>
      <c r="AZ9" s="4">
        <v>200</v>
      </c>
      <c r="BA9" s="4">
        <v>200</v>
      </c>
      <c r="BB9" s="4">
        <v>200</v>
      </c>
      <c r="BC9" s="4">
        <v>200</v>
      </c>
      <c r="BD9" s="4">
        <v>200</v>
      </c>
      <c r="BE9" s="4">
        <v>200</v>
      </c>
      <c r="BF9" s="4">
        <v>200</v>
      </c>
      <c r="BG9" s="4">
        <v>200</v>
      </c>
      <c r="BH9" s="4">
        <v>200</v>
      </c>
      <c r="BI9" s="4">
        <v>200</v>
      </c>
      <c r="BJ9" s="4">
        <v>200</v>
      </c>
      <c r="BK9" s="4">
        <v>200</v>
      </c>
      <c r="BL9" s="4">
        <v>200</v>
      </c>
      <c r="BM9" s="4">
        <v>200</v>
      </c>
      <c r="BN9" s="4">
        <v>200</v>
      </c>
      <c r="BO9" s="4">
        <v>200</v>
      </c>
      <c r="BP9" s="4">
        <v>200</v>
      </c>
      <c r="BQ9" s="4">
        <v>200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6200</v>
      </c>
      <c r="CH9" s="4">
        <v>6600</v>
      </c>
    </row>
    <row r="10" spans="1:86" x14ac:dyDescent="0.25">
      <c r="A10" s="4" t="s">
        <v>146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500</v>
      </c>
      <c r="CH10" s="4">
        <v>0</v>
      </c>
    </row>
    <row r="11" spans="1:86" x14ac:dyDescent="0.25">
      <c r="A11" s="4" t="s">
        <v>147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150</v>
      </c>
      <c r="AM11" s="4">
        <v>150</v>
      </c>
      <c r="AN11" s="4">
        <v>150</v>
      </c>
      <c r="AO11" s="4">
        <v>150</v>
      </c>
      <c r="AP11" s="4">
        <v>150</v>
      </c>
      <c r="AQ11" s="4">
        <v>150</v>
      </c>
      <c r="AR11" s="4">
        <v>150</v>
      </c>
      <c r="AS11" s="4">
        <v>150</v>
      </c>
      <c r="AT11" s="4">
        <v>150</v>
      </c>
      <c r="AU11" s="4">
        <v>150</v>
      </c>
      <c r="AV11" s="4">
        <v>150</v>
      </c>
      <c r="AW11" s="4">
        <v>150</v>
      </c>
      <c r="AX11" s="4">
        <v>150</v>
      </c>
      <c r="AY11" s="4">
        <v>150</v>
      </c>
      <c r="AZ11" s="4">
        <v>150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2100</v>
      </c>
      <c r="CH11" s="4">
        <v>2250</v>
      </c>
    </row>
    <row r="12" spans="1:86" ht="15.6" x14ac:dyDescent="0.25">
      <c r="A12" s="3" t="s">
        <v>140</v>
      </c>
      <c r="B12" s="3">
        <f t="shared" ref="B12:AG12" ca="1" si="0">SUM(INDIRECT(ADDRESS(1,COLUMN())&amp;":"&amp;ADDRESS(ROW()-1,COLUMN())))</f>
        <v>2570</v>
      </c>
      <c r="C12" s="3">
        <f t="shared" ca="1" si="0"/>
        <v>2570</v>
      </c>
      <c r="D12" s="3">
        <f t="shared" ca="1" si="0"/>
        <v>2570</v>
      </c>
      <c r="E12" s="3">
        <f t="shared" ca="1" si="0"/>
        <v>2570</v>
      </c>
      <c r="F12" s="3">
        <f t="shared" ca="1" si="0"/>
        <v>2570</v>
      </c>
      <c r="G12" s="3">
        <f t="shared" ca="1" si="0"/>
        <v>2570</v>
      </c>
      <c r="H12" s="3">
        <f t="shared" ca="1" si="0"/>
        <v>2570</v>
      </c>
      <c r="I12" s="3">
        <f t="shared" ca="1" si="0"/>
        <v>2570</v>
      </c>
      <c r="J12" s="3">
        <f t="shared" ca="1" si="0"/>
        <v>2570</v>
      </c>
      <c r="K12" s="3">
        <f t="shared" ca="1" si="0"/>
        <v>2570</v>
      </c>
      <c r="L12" s="3">
        <f t="shared" ca="1" si="0"/>
        <v>2570</v>
      </c>
      <c r="M12" s="3">
        <f t="shared" ca="1" si="0"/>
        <v>2570</v>
      </c>
      <c r="N12" s="3">
        <f t="shared" ca="1" si="0"/>
        <v>2570</v>
      </c>
      <c r="O12" s="3">
        <f t="shared" ca="1" si="0"/>
        <v>2570</v>
      </c>
      <c r="P12" s="3">
        <f t="shared" ca="1" si="0"/>
        <v>2570</v>
      </c>
      <c r="Q12" s="3">
        <f t="shared" ca="1" si="0"/>
        <v>2570</v>
      </c>
      <c r="R12" s="3">
        <f t="shared" ca="1" si="0"/>
        <v>2570</v>
      </c>
      <c r="S12" s="3">
        <f t="shared" ca="1" si="0"/>
        <v>2570</v>
      </c>
      <c r="T12" s="3">
        <f t="shared" ca="1" si="0"/>
        <v>2570</v>
      </c>
      <c r="U12" s="3">
        <f t="shared" ca="1" si="0"/>
        <v>2570</v>
      </c>
      <c r="V12" s="3">
        <f t="shared" ca="1" si="0"/>
        <v>2570</v>
      </c>
      <c r="W12" s="3">
        <f t="shared" ca="1" si="0"/>
        <v>2570</v>
      </c>
      <c r="X12" s="3">
        <f t="shared" ca="1" si="0"/>
        <v>2570</v>
      </c>
      <c r="Y12" s="3">
        <f t="shared" ca="1" si="0"/>
        <v>2570</v>
      </c>
      <c r="Z12" s="3">
        <f t="shared" ca="1" si="0"/>
        <v>2570</v>
      </c>
      <c r="AA12" s="3">
        <f t="shared" ca="1" si="0"/>
        <v>2570</v>
      </c>
      <c r="AB12" s="3">
        <f t="shared" ca="1" si="0"/>
        <v>2570</v>
      </c>
      <c r="AC12" s="3">
        <f t="shared" ca="1" si="0"/>
        <v>2570</v>
      </c>
      <c r="AD12" s="3">
        <f t="shared" ca="1" si="0"/>
        <v>2570</v>
      </c>
      <c r="AE12" s="3">
        <f t="shared" ca="1" si="0"/>
        <v>2570</v>
      </c>
      <c r="AF12" s="3">
        <f t="shared" ca="1" si="0"/>
        <v>2570</v>
      </c>
      <c r="AG12" s="3">
        <f t="shared" ca="1" si="0"/>
        <v>2570</v>
      </c>
      <c r="AH12" s="3">
        <f t="shared" ref="AH12:BM12" ca="1" si="1">SUM(INDIRECT(ADDRESS(1,COLUMN())&amp;":"&amp;ADDRESS(ROW()-1,COLUMN())))</f>
        <v>2570</v>
      </c>
      <c r="AI12" s="3">
        <f t="shared" ca="1" si="1"/>
        <v>2570</v>
      </c>
      <c r="AJ12" s="3">
        <f t="shared" ca="1" si="1"/>
        <v>2570</v>
      </c>
      <c r="AK12" s="3">
        <f t="shared" ca="1" si="1"/>
        <v>4824</v>
      </c>
      <c r="AL12" s="3">
        <f t="shared" ca="1" si="1"/>
        <v>4904</v>
      </c>
      <c r="AM12" s="3">
        <f t="shared" ca="1" si="1"/>
        <v>4904</v>
      </c>
      <c r="AN12" s="3">
        <f t="shared" ca="1" si="1"/>
        <v>4904</v>
      </c>
      <c r="AO12" s="3">
        <f t="shared" ca="1" si="1"/>
        <v>4904</v>
      </c>
      <c r="AP12" s="3">
        <f t="shared" ca="1" si="1"/>
        <v>4904</v>
      </c>
      <c r="AQ12" s="3">
        <f t="shared" ca="1" si="1"/>
        <v>4904</v>
      </c>
      <c r="AR12" s="3">
        <f t="shared" ca="1" si="1"/>
        <v>4904</v>
      </c>
      <c r="AS12" s="3">
        <f t="shared" ca="1" si="1"/>
        <v>4904</v>
      </c>
      <c r="AT12" s="3">
        <f t="shared" ca="1" si="1"/>
        <v>4904</v>
      </c>
      <c r="AU12" s="3">
        <f t="shared" ca="1" si="1"/>
        <v>4904</v>
      </c>
      <c r="AV12" s="3">
        <f t="shared" ca="1" si="1"/>
        <v>4904</v>
      </c>
      <c r="AW12" s="3">
        <f t="shared" ca="1" si="1"/>
        <v>4904</v>
      </c>
      <c r="AX12" s="3">
        <f t="shared" ca="1" si="1"/>
        <v>4904</v>
      </c>
      <c r="AY12" s="3">
        <f t="shared" ca="1" si="1"/>
        <v>4904</v>
      </c>
      <c r="AZ12" s="3">
        <f t="shared" ca="1" si="1"/>
        <v>4904</v>
      </c>
      <c r="BA12" s="3">
        <f t="shared" ca="1" si="1"/>
        <v>4754</v>
      </c>
      <c r="BB12" s="3">
        <f t="shared" ca="1" si="1"/>
        <v>4754</v>
      </c>
      <c r="BC12" s="3">
        <f t="shared" ca="1" si="1"/>
        <v>4754</v>
      </c>
      <c r="BD12" s="3">
        <f t="shared" ca="1" si="1"/>
        <v>4754</v>
      </c>
      <c r="BE12" s="3">
        <f t="shared" ca="1" si="1"/>
        <v>4754</v>
      </c>
      <c r="BF12" s="3">
        <f t="shared" ca="1" si="1"/>
        <v>4754</v>
      </c>
      <c r="BG12" s="3">
        <f t="shared" ca="1" si="1"/>
        <v>4754</v>
      </c>
      <c r="BH12" s="3">
        <f t="shared" ca="1" si="1"/>
        <v>4754</v>
      </c>
      <c r="BI12" s="3">
        <f t="shared" ca="1" si="1"/>
        <v>4754</v>
      </c>
      <c r="BJ12" s="3">
        <f t="shared" ca="1" si="1"/>
        <v>4754</v>
      </c>
      <c r="BK12" s="3">
        <f t="shared" ca="1" si="1"/>
        <v>4754</v>
      </c>
      <c r="BL12" s="3">
        <f t="shared" ca="1" si="1"/>
        <v>4754</v>
      </c>
      <c r="BM12" s="3">
        <f t="shared" ca="1" si="1"/>
        <v>4754</v>
      </c>
      <c r="BN12" s="3">
        <f t="shared" ref="BN12:CH12" ca="1" si="2">SUM(INDIRECT(ADDRESS(1,COLUMN())&amp;":"&amp;ADDRESS(ROW()-1,COLUMN())))</f>
        <v>4754</v>
      </c>
      <c r="BO12" s="3">
        <f t="shared" ca="1" si="2"/>
        <v>4754</v>
      </c>
      <c r="BP12" s="3">
        <f t="shared" ca="1" si="2"/>
        <v>4754</v>
      </c>
      <c r="BQ12" s="3">
        <f t="shared" ca="1" si="2"/>
        <v>4754</v>
      </c>
      <c r="BR12" s="3">
        <f t="shared" ca="1" si="2"/>
        <v>4554</v>
      </c>
      <c r="BS12" s="3">
        <f t="shared" ca="1" si="2"/>
        <v>4554</v>
      </c>
      <c r="BT12" s="3">
        <f t="shared" ca="1" si="2"/>
        <v>4554</v>
      </c>
      <c r="BU12" s="3">
        <f t="shared" ca="1" si="2"/>
        <v>4054</v>
      </c>
      <c r="BV12" s="3">
        <f t="shared" ca="1" si="2"/>
        <v>4054</v>
      </c>
      <c r="BW12" s="3">
        <f t="shared" ca="1" si="2"/>
        <v>4054</v>
      </c>
      <c r="BX12" s="3">
        <f t="shared" ca="1" si="2"/>
        <v>4054</v>
      </c>
      <c r="BY12" s="3">
        <f t="shared" ca="1" si="2"/>
        <v>4054</v>
      </c>
      <c r="BZ12" s="3">
        <f t="shared" ca="1" si="2"/>
        <v>4054</v>
      </c>
      <c r="CA12" s="3">
        <f t="shared" ca="1" si="2"/>
        <v>4054</v>
      </c>
      <c r="CB12" s="3">
        <f t="shared" ca="1" si="2"/>
        <v>4054</v>
      </c>
      <c r="CC12" s="3">
        <f t="shared" ca="1" si="2"/>
        <v>4054</v>
      </c>
      <c r="CD12" s="3">
        <f t="shared" ca="1" si="2"/>
        <v>3294</v>
      </c>
      <c r="CE12" s="3">
        <f t="shared" ca="1" si="2"/>
        <v>3294</v>
      </c>
      <c r="CF12" s="3">
        <f t="shared" ca="1" si="2"/>
        <v>3294</v>
      </c>
      <c r="CG12" s="3">
        <f t="shared" ca="1" si="2"/>
        <v>210004</v>
      </c>
      <c r="CH12" s="3">
        <f t="shared" ca="1" si="2"/>
        <v>309182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</vt:i4>
      </vt:variant>
    </vt:vector>
  </HeadingPairs>
  <TitlesOfParts>
    <vt:vector size="2" baseType="lpstr">
      <vt:lpstr>debts_list</vt:lpstr>
      <vt:lpstr>debts_payments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Yechiel Maman</cp:lastModifiedBy>
  <cp:revision>0</cp:revision>
  <dcterms:created xsi:type="dcterms:W3CDTF">2026-05-11T00:52:36Z</dcterms:created>
  <dcterms:modified xsi:type="dcterms:W3CDTF">2026-05-10T21:59:23Z</dcterms:modified>
</cp:coreProperties>
</file>