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ebts_list" r:id="rId4"/>
    <sheet sheetId="2" name="debts_payments" r:id="rId5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4">
    <font>
      <name val="Arial"/>
      <sz val="11"/>
      <family val="1"/>
    </font>
    <font>
      <name val="Arial"/>
      <sz val="12"/>
      <family val="1"/>
      <b val="1"/>
      <color rgb="FFFFFFFF"/>
    </font>
    <font>
      <name val="Arial"/>
      <sz val="12"/>
      <family val="1"/>
      <b val="1"/>
      <color rgb="FF000000"/>
    </font>
    <font>
      <name val="Arial"/>
      <sz val="14"/>
      <family val="1"/>
      <b val="1"/>
      <color rgb="FFFF8000"/>
    </font>
  </fonts>
  <fills count="4">
    <fill>
      <patternFill patternType="none"/>
    </fill>
    <fill>
      <patternFill patternType="gray125"/>
    </fill>
    <fill>
      <patternFill patternType="solid">
        <fgColor rgb="FF004586"/>
      </patternFill>
    </fill>
    <fill>
      <patternFill patternType="solid">
        <fgColor rgb="FFD3D3D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7">
    <xf borderId="0" numFmtId="0" fontId="0" fillId="0" xfId="0"/>
    <xf borderId="1" numFmtId="0" fontId="0" fillId="0" xfId="0"/>
    <xf borderId="0" numFmtId="14" fontId="0" fillId="0" xfId="0" applyNumberFormat="1"/>
    <xf borderId="2" numFmtId="0" fontId="1" fillId="2" applyNumberFormat="0" applyFill="1" applyFont="1" applyBorder="1" applyAlignment="1" applyProtection="0">
      <alignment horizontal="center" vertical="center" wrapText="1"/>
    </xf>
    <xf borderId="0" numFmtId="0" fontId="2" fillId="3" applyNumberFormat="0" applyFill="1" applyFont="1" applyBorder="0" applyAlignment="1" applyProtection="0">
      <alignment horizontal="center" vertical="center" wrapText="1"/>
    </xf>
    <xf borderId="0" numFmtId="0" fontId="0" fillId="0" applyNumberFormat="0" applyFill="0" applyFont="0" applyBorder="0" applyAlignment="1" applyProtection="0">
      <alignment horizontal="right"/>
    </xf>
    <xf borderId="0" numFmtId="0" fontId="3" fillId="0" applyNumberFormat="0" applyFill="0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2"/>
  <sheetViews>
    <sheetView windowProtection="0" tabSelected="0" showWhiteSpace="0" showOutlineSymbols="0" showFormulas="0" rightToLeft="1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0.900000000000006"/>
    <col min="2" max="2" bestFit="1" customWidth="1" width="27.0"/>
    <col min="3" max="3" bestFit="1" customWidth="1" width="21.6"/>
    <col min="4" max="4" bestFit="1" customWidth="1" width="21.6"/>
    <col min="5" max="5" bestFit="1" customWidth="1" width="23.400000000000002"/>
    <col min="6" max="6" bestFit="1" customWidth="1" width="37.800000000000004"/>
    <col min="7" max="7" bestFit="1" customWidth="1" width="45.0"/>
    <col min="8" max="8" bestFit="1" customWidth="1" width="25.2"/>
    <col min="9" max="9" bestFit="1" customWidth="1" width="146.3"/>
  </cols>
  <sheetData>
    <row r="1">
      <c r="A1" s="6" t="inlineStr">
        <is>
          <t>טבלת חובות המתועדים במערכת</t>
        </is>
      </c>
    </row>
    <row r="2">
      <c r="A2" s="0" t="inlineStr">
        <is>
          <t>תאריך ייצוא</t>
        </is>
      </c>
      <c r="B2" s="2">
        <v>46172.0</v>
      </c>
    </row>
    <row r="3">
      <c r="A3" s="0" t="inlineStr">
        <is>
          <t>שם</t>
        </is>
      </c>
      <c r="B3" s="0" t="inlineStr">
        <is>
          <t>מזרחי </t>
        </is>
      </c>
    </row>
    <row r="4">
      <c r="A4" s="0" t="inlineStr">
        <is>
          <t>אחראי משפחה</t>
        </is>
      </c>
      <c r="B4" s="0" t="inlineStr">
        <is>
          <t>ym7000@gmail.com</t>
        </is>
      </c>
    </row>
    <row r="5">
      <c r="A5" s="0" t="inlineStr">
        <is>
          <t>יחידה</t>
        </is>
      </c>
      <c r="B5" s="0" t="inlineStr">
        <is>
          <t>משטרת ישראל</t>
        </is>
      </c>
    </row>
    <row r="6">
      <c r="A6" s="0" t="inlineStr">
        <is>
          <t>מס' משפחה</t>
        </is>
      </c>
      <c r="B6" s="0" t="n">
        <v>158577</v>
      </c>
    </row>
    <row r="7"/>
    <row r="8"/>
    <row r="9">
      <c r="A9" s="3" t="inlineStr">
        <is>
          <t>שם הנושה</t>
        </is>
      </c>
      <c r="B9" s="3" t="inlineStr">
        <is>
          <t>קטגורית נושה</t>
        </is>
      </c>
      <c r="C9" s="3" t="inlineStr">
        <is>
          <t>סכום החוב</t>
        </is>
      </c>
      <c r="D9" s="3" t="inlineStr">
        <is>
          <t>נכון ליום</t>
        </is>
      </c>
      <c r="E9" s="3" t="inlineStr">
        <is>
          <t>אחוז ריבית</t>
        </is>
      </c>
      <c r="F9" s="3" t="inlineStr">
        <is>
          <t>מס' תשלומים נותרים</t>
        </is>
      </c>
      <c r="G9" s="3" t="inlineStr">
        <is>
          <t>סכום החזר בחודש הנוכחי</t>
        </is>
      </c>
      <c r="H9" s="3" t="inlineStr">
        <is>
          <t>נותר לתשלום</t>
        </is>
      </c>
      <c r="I9" s="3" t="inlineStr">
        <is>
          <t>הערות</t>
        </is>
      </c>
    </row>
    <row r="10">
      <c r="A10" s="5" t="inlineStr">
        <is>
          <t>בנק יהב - הלוואה אליהו</t>
        </is>
      </c>
      <c r="B10" s="5" t="inlineStr">
        <is>
          <t>בנק - הלוואה</t>
        </is>
      </c>
      <c r="C10" s="5" t="inlineStr">
        <is>
          <t>52,973</t>
        </is>
      </c>
      <c r="D10" s="5" t="inlineStr">
        <is>
          <t>10-05-26</t>
        </is>
      </c>
      <c r="E10" s="5" t="inlineStr">
        <is>
          <t>13.45%</t>
        </is>
      </c>
      <c r="F10" s="5" t="inlineStr">
        <is>
          <t/>
        </is>
      </c>
      <c r="G10" s="5" t="inlineStr">
        <is>
          <t/>
        </is>
      </c>
      <c r="H10" s="5" t="inlineStr">
        <is>
          <t>52,973</t>
        </is>
      </c>
      <c r="I10" s="5" t="inlineStr">
        <is>
          <t>חוב חדש שמחליף מינוס והלוואה נוספת</t>
        </is>
      </c>
    </row>
    <row r="11">
      <c r="A11" s="5" t="inlineStr">
        <is>
          <t>בנק יהב - הלוואה רחל</t>
        </is>
      </c>
      <c r="B11" s="5" t="inlineStr">
        <is>
          <t>בנק - הלוואה</t>
        </is>
      </c>
      <c r="C11" s="5" t="inlineStr">
        <is>
          <t>25,064</t>
        </is>
      </c>
      <c r="D11" s="5" t="inlineStr">
        <is>
          <t>17-05-26</t>
        </is>
      </c>
      <c r="E11" s="5" t="inlineStr">
        <is>
          <t>7.45%</t>
        </is>
      </c>
      <c r="F11" s="5" t="n">
        <v>20</v>
      </c>
      <c r="G11" s="5" t="inlineStr">
        <is>
          <t>1,334</t>
        </is>
      </c>
      <c r="H11" s="5" t="inlineStr">
        <is>
          <t>26,680</t>
        </is>
      </c>
      <c r="I11" s="5" t="inlineStr">
        <is>
          <t> P+1.95%</t>
        </is>
      </c>
    </row>
    <row r="12">
      <c r="A12" s="5" t="inlineStr">
        <is>
          <t>בנק יהב - ועד תקציבית</t>
        </is>
      </c>
      <c r="B12" s="5" t="inlineStr">
        <is>
          <t>בנק - הלוואה</t>
        </is>
      </c>
      <c r="C12" s="5" t="inlineStr">
        <is>
          <t>8,403</t>
        </is>
      </c>
      <c r="D12" s="5" t="inlineStr">
        <is>
          <t>10-05-26</t>
        </is>
      </c>
      <c r="E12" s="5" t="inlineStr">
        <is>
          <t>4.66%</t>
        </is>
      </c>
      <c r="F12" s="5" t="n">
        <v>29</v>
      </c>
      <c r="G12" s="5" t="n">
        <v>280</v>
      </c>
      <c r="H12" s="5" t="inlineStr">
        <is>
          <t>8,120</t>
        </is>
      </c>
      <c r="I12" s="5" t="inlineStr">
        <is>
          <t>משולם דרך תלוש השכר</t>
        </is>
      </c>
    </row>
    <row r="13">
      <c r="A13" s="5" t="inlineStr">
        <is>
          <t>בנק יהב - קרנות שוטרים</t>
        </is>
      </c>
      <c r="B13" s="5" t="inlineStr">
        <is>
          <t>בנק - הלוואה</t>
        </is>
      </c>
      <c r="C13" s="5" t="inlineStr">
        <is>
          <t>5,281</t>
        </is>
      </c>
      <c r="D13" s="5" t="inlineStr">
        <is>
          <t>10-05-26</t>
        </is>
      </c>
      <c r="E13" s="5" t="inlineStr">
        <is>
          <t>5.12%</t>
        </is>
      </c>
      <c r="F13" s="5" t="n">
        <v>14</v>
      </c>
      <c r="G13" s="5" t="n">
        <v>353</v>
      </c>
      <c r="H13" s="5" t="inlineStr">
        <is>
          <t>4,942</t>
        </is>
      </c>
      <c r="I13" s="5" t="inlineStr">
        <is>
          <t>משולם דרך תלוש השכר</t>
        </is>
      </c>
    </row>
    <row r="14">
      <c r="A14" s="5" t="inlineStr">
        <is>
          <t>בנק ירושלים - אליהו</t>
        </is>
      </c>
      <c r="B14" s="5" t="inlineStr">
        <is>
          <t>בנק - הלוואה</t>
        </is>
      </c>
      <c r="C14" s="5" t="inlineStr">
        <is>
          <t>11,000</t>
        </is>
      </c>
      <c r="D14" s="5" t="inlineStr">
        <is>
          <t>01-01-26</t>
        </is>
      </c>
      <c r="E14" s="5" t="inlineStr">
        <is>
          <t>17.5%</t>
        </is>
      </c>
      <c r="F14" s="5" t="n">
        <v>44</v>
      </c>
      <c r="G14" s="5" t="n">
        <v>315</v>
      </c>
      <c r="H14" s="5" t="inlineStr">
        <is>
          <t>13,860</t>
        </is>
      </c>
      <c r="I14" s="5" t="inlineStr">
        <is>
          <t>ההלוואה משולמת מדי חודש 320 ש"ח , P+12%</t>
        </is>
      </c>
    </row>
    <row r="15">
      <c r="A15" s="5" t="inlineStr">
        <is>
          <t>בנק לאומי (פיצוי ותק משטרה) - אליהו</t>
        </is>
      </c>
      <c r="B15" s="5" t="inlineStr">
        <is>
          <t>בנק - הלוואה</t>
        </is>
      </c>
      <c r="C15" s="5" t="inlineStr">
        <is>
          <t>25,000</t>
        </is>
      </c>
      <c r="D15" s="5" t="inlineStr">
        <is>
          <t>10-08-25</t>
        </is>
      </c>
      <c r="E15" s="5" t="inlineStr">
        <is>
          <t/>
        </is>
      </c>
      <c r="F15" s="5" t="inlineStr">
        <is>
          <t/>
        </is>
      </c>
      <c r="G15" s="5" t="inlineStr">
        <is>
          <t/>
        </is>
      </c>
      <c r="H15" s="5" t="inlineStr">
        <is>
          <t>25,000</t>
        </is>
      </c>
      <c r="I15" s="5" t="inlineStr">
        <is>
          <t>משולם באמצעות תלוש השכר אחת לשנה בתלוש מאי</t>
        </is>
      </c>
    </row>
    <row r="16">
      <c r="A16" s="5" t="inlineStr">
        <is>
          <t>הוט מובייל - אליהו</t>
        </is>
      </c>
      <c r="B16" s="5" t="inlineStr">
        <is>
          <t>מוסד / חברה</t>
        </is>
      </c>
      <c r="C16" s="5" t="inlineStr">
        <is>
          <t>11,184</t>
        </is>
      </c>
      <c r="D16" s="5" t="inlineStr">
        <is>
          <t>15-04-25</t>
        </is>
      </c>
      <c r="E16" s="5" t="inlineStr">
        <is>
          <t/>
        </is>
      </c>
      <c r="F16" s="5" t="inlineStr">
        <is>
          <t/>
        </is>
      </c>
      <c r="G16" s="5" t="inlineStr">
        <is>
          <t/>
        </is>
      </c>
      <c r="H16" s="5" t="inlineStr">
        <is>
          <t>11,184</t>
        </is>
      </c>
      <c r="I16" s="5" t="inlineStr">
        <is>
          <t>מבירור של יחיאת מול הוט מובייל</t>
        </is>
      </c>
    </row>
    <row r="17">
      <c r="A17" s="5" t="inlineStr">
        <is>
          <t>כאל רחל</t>
        </is>
      </c>
      <c r="B17" s="5" t="inlineStr">
        <is>
          <t>כרטיס אשראי</t>
        </is>
      </c>
      <c r="C17" s="5" t="inlineStr">
        <is>
          <t>25,300</t>
        </is>
      </c>
      <c r="D17" s="5" t="inlineStr">
        <is>
          <t>15-02-26</t>
        </is>
      </c>
      <c r="E17" s="5" t="inlineStr">
        <is>
          <t>17.40%</t>
        </is>
      </c>
      <c r="F17" s="5" t="inlineStr">
        <is>
          <t/>
        </is>
      </c>
      <c r="G17" s="5" t="inlineStr">
        <is>
          <t/>
        </is>
      </c>
      <c r="H17" s="5" t="inlineStr">
        <is>
          <t>25,300</t>
        </is>
      </c>
      <c r="I17" s="5" t="inlineStr">
        <is>
          <t>יש לתקף את סכום החוב ושיעור הריבית
P+11.90%</t>
        </is>
      </c>
    </row>
    <row r="18">
      <c r="A18" s="5" t="inlineStr">
        <is>
          <t>כר.אשראי כאל - אליהו</t>
        </is>
      </c>
      <c r="B18" s="5" t="inlineStr">
        <is>
          <t>כרטיס אשראי</t>
        </is>
      </c>
      <c r="C18" s="5" t="inlineStr">
        <is>
          <t>3,045</t>
        </is>
      </c>
      <c r="D18" s="5" t="inlineStr">
        <is>
          <t>19-11-25</t>
        </is>
      </c>
      <c r="E18" s="5" t="inlineStr">
        <is>
          <t/>
        </is>
      </c>
      <c r="F18" s="5" t="inlineStr">
        <is>
          <t/>
        </is>
      </c>
      <c r="G18" s="5" t="inlineStr">
        <is>
          <t/>
        </is>
      </c>
      <c r="H18" s="5" t="inlineStr">
        <is>
          <t>3,045</t>
        </is>
      </c>
      <c r="I18" s="5" t="inlineStr">
        <is>
          <t>יש מכתב התראה מחודש 9/2025, החוב נכון ל- 19/11/25</t>
        </is>
      </c>
    </row>
    <row r="19">
      <c r="A19" s="5" t="inlineStr">
        <is>
          <t>כר.אשראי מקס - רחל</t>
        </is>
      </c>
      <c r="B19" s="5" t="inlineStr">
        <is>
          <t>כרטיס אשראי</t>
        </is>
      </c>
      <c r="C19" s="5" t="inlineStr">
        <is>
          <t>43,990</t>
        </is>
      </c>
      <c r="D19" s="5" t="inlineStr">
        <is>
          <t>10-05-26</t>
        </is>
      </c>
      <c r="E19" s="5" t="inlineStr">
        <is>
          <t>10.55%</t>
        </is>
      </c>
      <c r="F19" s="5" t="n">
        <v>57</v>
      </c>
      <c r="G19" s="5" t="inlineStr">
        <is>
          <t>1,004</t>
        </is>
      </c>
      <c r="H19" s="5" t="inlineStr">
        <is>
          <t>57,228</t>
        </is>
      </c>
      <c r="I19" s="5" t="inlineStr">
        <is>
          <t>יש לוח סילוקין עם החזר חודשי של 1,004 ש"ח , P+5.05%</t>
        </is>
      </c>
    </row>
    <row r="20">
      <c r="A20" s="5" t="inlineStr">
        <is>
          <t>פרימיום אקספרס - אליהו</t>
        </is>
      </c>
      <c r="B20" s="5" t="inlineStr">
        <is>
          <t>מוסד / חברה</t>
        </is>
      </c>
      <c r="C20" s="5" t="inlineStr">
        <is>
          <t>32,226</t>
        </is>
      </c>
      <c r="D20" s="5" t="inlineStr">
        <is>
          <t>10-05-26</t>
        </is>
      </c>
      <c r="E20" s="5" t="inlineStr">
        <is>
          <t/>
        </is>
      </c>
      <c r="F20" s="5" t="inlineStr">
        <is>
          <t/>
        </is>
      </c>
      <c r="G20" s="5" t="inlineStr">
        <is>
          <t/>
        </is>
      </c>
      <c r="H20" s="5" t="inlineStr">
        <is>
          <t>32,226</t>
        </is>
      </c>
      <c r="I20" s="5" t="inlineStr">
        <is>
          <t>בשיחת טלפון ביקשה להעביר תנועות עו"ש וחומרים על הילדים ולבקש הנחה / מחילה מישראכרט, יש הצעה לסילוק ב- 24,000 ש"ח, ננצעה עד 26/5/26</t>
        </is>
      </c>
    </row>
    <row r="21">
      <c r="A21" s="5" t="inlineStr">
        <is>
          <t>רצון את ליברמן</t>
        </is>
      </c>
      <c r="B21" s="5" t="inlineStr">
        <is>
          <t>הוצאה לפועל</t>
        </is>
      </c>
      <c r="C21" s="5" t="inlineStr">
        <is>
          <t>11,000</t>
        </is>
      </c>
      <c r="D21" s="5" t="inlineStr">
        <is>
          <t>07-05-26</t>
        </is>
      </c>
      <c r="E21" s="5" t="inlineStr">
        <is>
          <t/>
        </is>
      </c>
      <c r="F21" s="5" t="inlineStr">
        <is>
          <t/>
        </is>
      </c>
      <c r="G21" s="5" t="inlineStr">
        <is>
          <t/>
        </is>
      </c>
      <c r="H21" s="5" t="inlineStr">
        <is>
          <t>11,000</t>
        </is>
      </c>
      <c r="I21" s="5" t="inlineStr">
        <is>
          <t/>
        </is>
      </c>
    </row>
    <row r="22">
      <c r="A22" s="4" t="inlineStr">
        <is>
          <t>סה"כ בדף</t>
        </is>
      </c>
      <c r="B22" s="4" t="inlineStr">
        <is>
          <t/>
        </is>
      </c>
      <c r="C22" s="4" t="inlineStr">
        <is>
          <t>254,466</t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>3,286</t>
        </is>
      </c>
      <c r="H22" s="4" t="inlineStr">
        <is>
          <t>271,558</t>
        </is>
      </c>
    </row>
  </sheetData>
  <sheetCalcPr fullCalcOnLoad="1"/>
  <mergeCells count="1">
    <mergeCell ref="A1:E1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H17"/>
  <sheetViews>
    <sheetView windowProtection="0" tabSelected="0" showWhiteSpace="0" showOutlineSymbols="0" showFormulas="0" rightToLeft="1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50.6"/>
    <col min="2" max="2" bestFit="1" customWidth="1" width="14.4"/>
    <col min="3" max="3" bestFit="1" customWidth="1" width="14.4"/>
    <col min="4" max="4" bestFit="1" customWidth="1" width="14.4"/>
    <col min="5" max="5" bestFit="1" customWidth="1" width="14.4"/>
    <col min="6" max="6" bestFit="1" customWidth="1" width="14.4"/>
    <col min="7" max="7" bestFit="1" customWidth="1" width="14.4"/>
    <col min="8" max="8" bestFit="1" customWidth="1" width="14.4"/>
    <col min="9" max="9" bestFit="1" customWidth="1" width="14.4"/>
    <col min="10" max="10" bestFit="1" customWidth="1" width="14.4"/>
    <col min="11" max="11" bestFit="1" customWidth="1" width="14.4"/>
    <col min="12" max="12" bestFit="1" customWidth="1" width="14.4"/>
    <col min="13" max="13" bestFit="1" customWidth="1" width="14.4"/>
    <col min="14" max="14" bestFit="1" customWidth="1" width="14.4"/>
    <col min="15" max="15" bestFit="1" customWidth="1" width="14.4"/>
    <col min="16" max="16" bestFit="1" customWidth="1" width="14.4"/>
    <col min="17" max="17" bestFit="1" customWidth="1" width="14.4"/>
    <col min="18" max="18" bestFit="1" customWidth="1" width="14.4"/>
    <col min="19" max="19" bestFit="1" customWidth="1" width="14.4"/>
    <col min="20" max="20" bestFit="1" customWidth="1" width="14.4"/>
    <col min="21" max="21" bestFit="1" customWidth="1" width="14.4"/>
    <col min="22" max="22" bestFit="1" customWidth="1" width="14.4"/>
    <col min="23" max="23" bestFit="1" customWidth="1" width="14.4"/>
    <col min="24" max="24" bestFit="1" customWidth="1" width="14.4"/>
    <col min="25" max="25" bestFit="1" customWidth="1" width="14.4"/>
    <col min="26" max="26" bestFit="1" customWidth="1" width="14.4"/>
    <col min="27" max="27" bestFit="1" customWidth="1" width="14.4"/>
    <col min="28" max="28" bestFit="1" customWidth="1" width="14.4"/>
    <col min="29" max="29" bestFit="1" customWidth="1" width="14.4"/>
    <col min="30" max="30" bestFit="1" customWidth="1" width="14.4"/>
    <col min="31" max="31" bestFit="1" customWidth="1" width="14.4"/>
    <col min="32" max="32" bestFit="1" customWidth="1" width="14.4"/>
    <col min="33" max="33" bestFit="1" customWidth="1" width="14.4"/>
    <col min="34" max="34" bestFit="1" customWidth="1" width="14.4"/>
    <col min="35" max="35" bestFit="1" customWidth="1" width="14.4"/>
    <col min="36" max="36" bestFit="1" customWidth="1" width="14.4"/>
    <col min="37" max="37" bestFit="1" customWidth="1" width="14.4"/>
    <col min="38" max="38" bestFit="1" customWidth="1" width="14.4"/>
    <col min="39" max="39" bestFit="1" customWidth="1" width="14.4"/>
    <col min="40" max="40" bestFit="1" customWidth="1" width="14.4"/>
    <col min="41" max="41" bestFit="1" customWidth="1" width="14.4"/>
    <col min="42" max="42" bestFit="1" customWidth="1" width="14.4"/>
    <col min="43" max="43" bestFit="1" customWidth="1" width="14.4"/>
    <col min="44" max="44" bestFit="1" customWidth="1" width="14.4"/>
    <col min="45" max="45" bestFit="1" customWidth="1" width="14.4"/>
    <col min="46" max="46" bestFit="1" customWidth="1" width="14.4"/>
    <col min="47" max="47" bestFit="1" customWidth="1" width="14.4"/>
    <col min="48" max="48" bestFit="1" customWidth="1" width="14.4"/>
    <col min="49" max="49" bestFit="1" customWidth="1" width="14.4"/>
    <col min="50" max="50" bestFit="1" customWidth="1" width="14.4"/>
    <col min="51" max="51" bestFit="1" customWidth="1" width="14.4"/>
    <col min="52" max="52" bestFit="1" customWidth="1" width="14.4"/>
    <col min="53" max="53" bestFit="1" customWidth="1" width="14.4"/>
    <col min="54" max="54" bestFit="1" customWidth="1" width="14.4"/>
    <col min="55" max="55" bestFit="1" customWidth="1" width="14.4"/>
    <col min="56" max="56" bestFit="1" customWidth="1" width="14.4"/>
    <col min="57" max="57" bestFit="1" customWidth="1" width="14.4"/>
    <col min="58" max="58" bestFit="1" customWidth="1" width="14.4"/>
    <col min="59" max="59" bestFit="1" customWidth="1" width="21.6"/>
    <col min="60" max="60" bestFit="1" customWidth="1" width="12.6"/>
  </cols>
  <sheetData>
    <row r="1">
      <c r="A1" s="6" t="inlineStr">
        <is>
          <t>טבלת פריסת חובות</t>
        </is>
      </c>
    </row>
    <row r="2"/>
    <row r="3"/>
    <row r="4">
      <c r="A4" s="3" t="inlineStr">
        <is>
          <t/>
        </is>
      </c>
      <c r="B4" s="3" t="inlineStr">
        <is>
          <t>05-26</t>
        </is>
      </c>
      <c r="C4" s="3" t="inlineStr">
        <is>
          <t>06-26</t>
        </is>
      </c>
      <c r="D4" s="3" t="inlineStr">
        <is>
          <t>07-26</t>
        </is>
      </c>
      <c r="E4" s="3" t="inlineStr">
        <is>
          <t>08-26</t>
        </is>
      </c>
      <c r="F4" s="3" t="inlineStr">
        <is>
          <t>09-26</t>
        </is>
      </c>
      <c r="G4" s="3" t="inlineStr">
        <is>
          <t>10-26</t>
        </is>
      </c>
      <c r="H4" s="3" t="inlineStr">
        <is>
          <t>11-26</t>
        </is>
      </c>
      <c r="I4" s="3" t="inlineStr">
        <is>
          <t>12-26</t>
        </is>
      </c>
      <c r="J4" s="3" t="inlineStr">
        <is>
          <t>01-27</t>
        </is>
      </c>
      <c r="K4" s="3" t="inlineStr">
        <is>
          <t>02-27</t>
        </is>
      </c>
      <c r="L4" s="3" t="inlineStr">
        <is>
          <t>03-27</t>
        </is>
      </c>
      <c r="M4" s="3" t="inlineStr">
        <is>
          <t>04-27</t>
        </is>
      </c>
      <c r="N4" s="3" t="inlineStr">
        <is>
          <t>05-27</t>
        </is>
      </c>
      <c r="O4" s="3" t="inlineStr">
        <is>
          <t>06-27</t>
        </is>
      </c>
      <c r="P4" s="3" t="inlineStr">
        <is>
          <t>07-27</t>
        </is>
      </c>
      <c r="Q4" s="3" t="inlineStr">
        <is>
          <t>08-27</t>
        </is>
      </c>
      <c r="R4" s="3" t="inlineStr">
        <is>
          <t>09-27</t>
        </is>
      </c>
      <c r="S4" s="3" t="inlineStr">
        <is>
          <t>10-27</t>
        </is>
      </c>
      <c r="T4" s="3" t="inlineStr">
        <is>
          <t>11-27</t>
        </is>
      </c>
      <c r="U4" s="3" t="inlineStr">
        <is>
          <t>12-27</t>
        </is>
      </c>
      <c r="V4" s="3" t="inlineStr">
        <is>
          <t>01-28</t>
        </is>
      </c>
      <c r="W4" s="3" t="inlineStr">
        <is>
          <t>02-28</t>
        </is>
      </c>
      <c r="X4" s="3" t="inlineStr">
        <is>
          <t>03-28</t>
        </is>
      </c>
      <c r="Y4" s="3" t="inlineStr">
        <is>
          <t>04-28</t>
        </is>
      </c>
      <c r="Z4" s="3" t="inlineStr">
        <is>
          <t>05-28</t>
        </is>
      </c>
      <c r="AA4" s="3" t="inlineStr">
        <is>
          <t>06-28</t>
        </is>
      </c>
      <c r="AB4" s="3" t="inlineStr">
        <is>
          <t>07-28</t>
        </is>
      </c>
      <c r="AC4" s="3" t="inlineStr">
        <is>
          <t>08-28</t>
        </is>
      </c>
      <c r="AD4" s="3" t="inlineStr">
        <is>
          <t>09-28</t>
        </is>
      </c>
      <c r="AE4" s="3" t="inlineStr">
        <is>
          <t>10-28</t>
        </is>
      </c>
      <c r="AF4" s="3" t="inlineStr">
        <is>
          <t>11-28</t>
        </is>
      </c>
      <c r="AG4" s="3" t="inlineStr">
        <is>
          <t>12-28</t>
        </is>
      </c>
      <c r="AH4" s="3" t="inlineStr">
        <is>
          <t>01-29</t>
        </is>
      </c>
      <c r="AI4" s="3" t="inlineStr">
        <is>
          <t>02-29</t>
        </is>
      </c>
      <c r="AJ4" s="3" t="inlineStr">
        <is>
          <t>03-29</t>
        </is>
      </c>
      <c r="AK4" s="3" t="inlineStr">
        <is>
          <t>04-29</t>
        </is>
      </c>
      <c r="AL4" s="3" t="inlineStr">
        <is>
          <t>05-29</t>
        </is>
      </c>
      <c r="AM4" s="3" t="inlineStr">
        <is>
          <t>06-29</t>
        </is>
      </c>
      <c r="AN4" s="3" t="inlineStr">
        <is>
          <t>07-29</t>
        </is>
      </c>
      <c r="AO4" s="3" t="inlineStr">
        <is>
          <t>08-29</t>
        </is>
      </c>
      <c r="AP4" s="3" t="inlineStr">
        <is>
          <t>09-29</t>
        </is>
      </c>
      <c r="AQ4" s="3" t="inlineStr">
        <is>
          <t>10-29</t>
        </is>
      </c>
      <c r="AR4" s="3" t="inlineStr">
        <is>
          <t>11-29</t>
        </is>
      </c>
      <c r="AS4" s="3" t="inlineStr">
        <is>
          <t>12-29</t>
        </is>
      </c>
      <c r="AT4" s="3" t="inlineStr">
        <is>
          <t>01-30</t>
        </is>
      </c>
      <c r="AU4" s="3" t="inlineStr">
        <is>
          <t>02-30</t>
        </is>
      </c>
      <c r="AV4" s="3" t="inlineStr">
        <is>
          <t>03-30</t>
        </is>
      </c>
      <c r="AW4" s="3" t="inlineStr">
        <is>
          <t>04-30</t>
        </is>
      </c>
      <c r="AX4" s="3" t="inlineStr">
        <is>
          <t>05-30</t>
        </is>
      </c>
      <c r="AY4" s="3" t="inlineStr">
        <is>
          <t>06-30</t>
        </is>
      </c>
      <c r="AZ4" s="3" t="inlineStr">
        <is>
          <t>07-30</t>
        </is>
      </c>
      <c r="BA4" s="3" t="inlineStr">
        <is>
          <t>08-30</t>
        </is>
      </c>
      <c r="BB4" s="3" t="inlineStr">
        <is>
          <t>09-30</t>
        </is>
      </c>
      <c r="BC4" s="3" t="inlineStr">
        <is>
          <t>10-30</t>
        </is>
      </c>
      <c r="BD4" s="3" t="inlineStr">
        <is>
          <t>11-30</t>
        </is>
      </c>
      <c r="BE4" s="3" t="inlineStr">
        <is>
          <t>12-30</t>
        </is>
      </c>
      <c r="BF4" s="3" t="inlineStr">
        <is>
          <t>01-31</t>
        </is>
      </c>
      <c r="BG4" s="3" t="inlineStr">
        <is>
          <t>יתרת החוב</t>
        </is>
      </c>
      <c r="BH4" s="3" t="inlineStr">
        <is>
          <t>סה"כ</t>
        </is>
      </c>
    </row>
    <row r="5">
      <c r="A5" s="5" t="inlineStr">
        <is>
          <t>בנק יהב - הלוואה אליהו (52973)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52973</v>
      </c>
      <c r="BH5" s="5" t="n">
        <v>0</v>
      </c>
    </row>
    <row r="6">
      <c r="A6" s="5" t="inlineStr">
        <is>
          <t>בנק יהב - הלוואה רחל (25064)</t>
        </is>
      </c>
      <c r="B6" s="5" t="n">
        <v>1334</v>
      </c>
      <c r="C6" s="5" t="n">
        <v>1334</v>
      </c>
      <c r="D6" s="5" t="n">
        <v>1334</v>
      </c>
      <c r="E6" s="5" t="n">
        <v>1334</v>
      </c>
      <c r="F6" s="5" t="n">
        <v>1334</v>
      </c>
      <c r="G6" s="5" t="n">
        <v>1334</v>
      </c>
      <c r="H6" s="5" t="n">
        <v>1334</v>
      </c>
      <c r="I6" s="5" t="n">
        <v>1334</v>
      </c>
      <c r="J6" s="5" t="n">
        <v>1334</v>
      </c>
      <c r="K6" s="5" t="n">
        <v>1334</v>
      </c>
      <c r="L6" s="5" t="n">
        <v>1334</v>
      </c>
      <c r="M6" s="5" t="n">
        <v>1334</v>
      </c>
      <c r="N6" s="5" t="n">
        <v>1334</v>
      </c>
      <c r="O6" s="5" t="n">
        <v>1334</v>
      </c>
      <c r="P6" s="5" t="n">
        <v>1334</v>
      </c>
      <c r="Q6" s="5" t="n">
        <v>1334</v>
      </c>
      <c r="R6" s="5" t="n">
        <v>1334</v>
      </c>
      <c r="S6" s="5" t="n">
        <v>1334</v>
      </c>
      <c r="T6" s="5" t="n">
        <v>1334</v>
      </c>
      <c r="U6" s="5" t="n">
        <v>1334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26680</v>
      </c>
      <c r="BH6" s="5" t="n">
        <v>26680</v>
      </c>
    </row>
    <row r="7">
      <c r="A7" s="5" t="inlineStr">
        <is>
          <t>בנק יהב - ועד תקציבית (8403)</t>
        </is>
      </c>
      <c r="B7" s="5" t="n">
        <v>280</v>
      </c>
      <c r="C7" s="5" t="n">
        <v>280</v>
      </c>
      <c r="D7" s="5" t="n">
        <v>280</v>
      </c>
      <c r="E7" s="5" t="n">
        <v>280</v>
      </c>
      <c r="F7" s="5" t="n">
        <v>280</v>
      </c>
      <c r="G7" s="5" t="n">
        <v>280</v>
      </c>
      <c r="H7" s="5" t="n">
        <v>280</v>
      </c>
      <c r="I7" s="5" t="n">
        <v>280</v>
      </c>
      <c r="J7" s="5" t="n">
        <v>280</v>
      </c>
      <c r="K7" s="5" t="n">
        <v>280</v>
      </c>
      <c r="L7" s="5" t="n">
        <v>280</v>
      </c>
      <c r="M7" s="5" t="n">
        <v>280</v>
      </c>
      <c r="N7" s="5" t="n">
        <v>280</v>
      </c>
      <c r="O7" s="5" t="n">
        <v>280</v>
      </c>
      <c r="P7" s="5" t="n">
        <v>280</v>
      </c>
      <c r="Q7" s="5" t="n">
        <v>280</v>
      </c>
      <c r="R7" s="5" t="n">
        <v>280</v>
      </c>
      <c r="S7" s="5" t="n">
        <v>280</v>
      </c>
      <c r="T7" s="5" t="n">
        <v>280</v>
      </c>
      <c r="U7" s="5" t="n">
        <v>280</v>
      </c>
      <c r="V7" s="5" t="n">
        <v>280</v>
      </c>
      <c r="W7" s="5" t="n">
        <v>280</v>
      </c>
      <c r="X7" s="5" t="n">
        <v>280</v>
      </c>
      <c r="Y7" s="5" t="n">
        <v>280</v>
      </c>
      <c r="Z7" s="5" t="n">
        <v>280</v>
      </c>
      <c r="AA7" s="5" t="n">
        <v>280</v>
      </c>
      <c r="AB7" s="5" t="n">
        <v>280</v>
      </c>
      <c r="AC7" s="5" t="n">
        <v>280</v>
      </c>
      <c r="AD7" s="5" t="n">
        <v>280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8120</v>
      </c>
      <c r="BH7" s="5" t="n">
        <v>8120</v>
      </c>
    </row>
    <row r="8">
      <c r="A8" s="5" t="inlineStr">
        <is>
          <t>בנק יהב - קרנות שוטרים (5281)</t>
        </is>
      </c>
      <c r="B8" s="5" t="n">
        <v>353</v>
      </c>
      <c r="C8" s="5" t="n">
        <v>353</v>
      </c>
      <c r="D8" s="5" t="n">
        <v>353</v>
      </c>
      <c r="E8" s="5" t="n">
        <v>353</v>
      </c>
      <c r="F8" s="5" t="n">
        <v>353</v>
      </c>
      <c r="G8" s="5" t="n">
        <v>353</v>
      </c>
      <c r="H8" s="5" t="n">
        <v>353</v>
      </c>
      <c r="I8" s="5" t="n">
        <v>353</v>
      </c>
      <c r="J8" s="5" t="n">
        <v>353</v>
      </c>
      <c r="K8" s="5" t="n">
        <v>353</v>
      </c>
      <c r="L8" s="5" t="n">
        <v>353</v>
      </c>
      <c r="M8" s="5" t="n">
        <v>353</v>
      </c>
      <c r="N8" s="5" t="n">
        <v>353</v>
      </c>
      <c r="O8" s="5" t="n">
        <v>353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4942</v>
      </c>
      <c r="BH8" s="5" t="n">
        <v>4942</v>
      </c>
    </row>
    <row r="9">
      <c r="A9" s="5" t="inlineStr">
        <is>
          <t>בנק ירושלים - אליהו (11000)</t>
        </is>
      </c>
      <c r="B9" s="5" t="n">
        <v>315</v>
      </c>
      <c r="C9" s="5" t="n">
        <v>315</v>
      </c>
      <c r="D9" s="5" t="n">
        <v>315</v>
      </c>
      <c r="E9" s="5" t="n">
        <v>315</v>
      </c>
      <c r="F9" s="5" t="n">
        <v>315</v>
      </c>
      <c r="G9" s="5" t="n">
        <v>315</v>
      </c>
      <c r="H9" s="5" t="n">
        <v>315</v>
      </c>
      <c r="I9" s="5" t="n">
        <v>315</v>
      </c>
      <c r="J9" s="5" t="n">
        <v>315</v>
      </c>
      <c r="K9" s="5" t="n">
        <v>315</v>
      </c>
      <c r="L9" s="5" t="n">
        <v>315</v>
      </c>
      <c r="M9" s="5" t="n">
        <v>315</v>
      </c>
      <c r="N9" s="5" t="n">
        <v>315</v>
      </c>
      <c r="O9" s="5" t="n">
        <v>315</v>
      </c>
      <c r="P9" s="5" t="n">
        <v>315</v>
      </c>
      <c r="Q9" s="5" t="n">
        <v>315</v>
      </c>
      <c r="R9" s="5" t="n">
        <v>315</v>
      </c>
      <c r="S9" s="5" t="n">
        <v>315</v>
      </c>
      <c r="T9" s="5" t="n">
        <v>315</v>
      </c>
      <c r="U9" s="5" t="n">
        <v>315</v>
      </c>
      <c r="V9" s="5" t="n">
        <v>315</v>
      </c>
      <c r="W9" s="5" t="n">
        <v>315</v>
      </c>
      <c r="X9" s="5" t="n">
        <v>315</v>
      </c>
      <c r="Y9" s="5" t="n">
        <v>315</v>
      </c>
      <c r="Z9" s="5" t="n">
        <v>315</v>
      </c>
      <c r="AA9" s="5" t="n">
        <v>315</v>
      </c>
      <c r="AB9" s="5" t="n">
        <v>315</v>
      </c>
      <c r="AC9" s="5" t="n">
        <v>315</v>
      </c>
      <c r="AD9" s="5" t="n">
        <v>315</v>
      </c>
      <c r="AE9" s="5" t="n">
        <v>315</v>
      </c>
      <c r="AF9" s="5" t="n">
        <v>315</v>
      </c>
      <c r="AG9" s="5" t="n">
        <v>315</v>
      </c>
      <c r="AH9" s="5" t="n">
        <v>315</v>
      </c>
      <c r="AI9" s="5" t="n">
        <v>315</v>
      </c>
      <c r="AJ9" s="5" t="n">
        <v>315</v>
      </c>
      <c r="AK9" s="5" t="n">
        <v>315</v>
      </c>
      <c r="AL9" s="5" t="n">
        <v>315</v>
      </c>
      <c r="AM9" s="5" t="n">
        <v>315</v>
      </c>
      <c r="AN9" s="5" t="n">
        <v>315</v>
      </c>
      <c r="AO9" s="5" t="n">
        <v>315</v>
      </c>
      <c r="AP9" s="5" t="n">
        <v>315</v>
      </c>
      <c r="AQ9" s="5" t="n">
        <v>315</v>
      </c>
      <c r="AR9" s="5" t="n">
        <v>315</v>
      </c>
      <c r="AS9" s="5" t="n">
        <v>315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13860</v>
      </c>
      <c r="BH9" s="5" t="n">
        <v>13860</v>
      </c>
    </row>
    <row r="10">
      <c r="A10" s="5" t="inlineStr">
        <is>
          <t>בנק לאומי (פיצוי ותק משטרה) - אליהו (25000)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25000</v>
      </c>
      <c r="BH10" s="5" t="n">
        <v>0</v>
      </c>
    </row>
    <row r="11">
      <c r="A11" s="5" t="inlineStr">
        <is>
          <t>הוט מובייל - אליהו (11184)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11184</v>
      </c>
      <c r="BH11" s="5" t="n">
        <v>0</v>
      </c>
    </row>
    <row r="12">
      <c r="A12" s="5" t="inlineStr">
        <is>
          <t>כאל רחל (25300)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25300</v>
      </c>
      <c r="BH12" s="5" t="n">
        <v>0</v>
      </c>
    </row>
    <row r="13">
      <c r="A13" s="5" t="inlineStr">
        <is>
          <t>כר.אשראי כאל - אליהו (3045)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3045</v>
      </c>
      <c r="BH13" s="5" t="n">
        <v>0</v>
      </c>
    </row>
    <row r="14">
      <c r="A14" s="5" t="inlineStr">
        <is>
          <t>כר.אשראי מקס - רחל (43990)</t>
        </is>
      </c>
      <c r="B14" s="5" t="n">
        <v>1004</v>
      </c>
      <c r="C14" s="5" t="n">
        <v>1004</v>
      </c>
      <c r="D14" s="5" t="n">
        <v>1004</v>
      </c>
      <c r="E14" s="5" t="n">
        <v>1004</v>
      </c>
      <c r="F14" s="5" t="n">
        <v>1004</v>
      </c>
      <c r="G14" s="5" t="n">
        <v>1004</v>
      </c>
      <c r="H14" s="5" t="n">
        <v>1004</v>
      </c>
      <c r="I14" s="5" t="n">
        <v>1004</v>
      </c>
      <c r="J14" s="5" t="n">
        <v>1004</v>
      </c>
      <c r="K14" s="5" t="n">
        <v>1004</v>
      </c>
      <c r="L14" s="5" t="n">
        <v>1004</v>
      </c>
      <c r="M14" s="5" t="n">
        <v>1004</v>
      </c>
      <c r="N14" s="5" t="n">
        <v>1004</v>
      </c>
      <c r="O14" s="5" t="n">
        <v>1004</v>
      </c>
      <c r="P14" s="5" t="n">
        <v>1004</v>
      </c>
      <c r="Q14" s="5" t="n">
        <v>1004</v>
      </c>
      <c r="R14" s="5" t="n">
        <v>1004</v>
      </c>
      <c r="S14" s="5" t="n">
        <v>1004</v>
      </c>
      <c r="T14" s="5" t="n">
        <v>1004</v>
      </c>
      <c r="U14" s="5" t="n">
        <v>1004</v>
      </c>
      <c r="V14" s="5" t="n">
        <v>1004</v>
      </c>
      <c r="W14" s="5" t="n">
        <v>1004</v>
      </c>
      <c r="X14" s="5" t="n">
        <v>1004</v>
      </c>
      <c r="Y14" s="5" t="n">
        <v>1004</v>
      </c>
      <c r="Z14" s="5" t="n">
        <v>1004</v>
      </c>
      <c r="AA14" s="5" t="n">
        <v>1004</v>
      </c>
      <c r="AB14" s="5" t="n">
        <v>1004</v>
      </c>
      <c r="AC14" s="5" t="n">
        <v>1004</v>
      </c>
      <c r="AD14" s="5" t="n">
        <v>1004</v>
      </c>
      <c r="AE14" s="5" t="n">
        <v>1004</v>
      </c>
      <c r="AF14" s="5" t="n">
        <v>1004</v>
      </c>
      <c r="AG14" s="5" t="n">
        <v>1004</v>
      </c>
      <c r="AH14" s="5" t="n">
        <v>1004</v>
      </c>
      <c r="AI14" s="5" t="n">
        <v>1004</v>
      </c>
      <c r="AJ14" s="5" t="n">
        <v>1004</v>
      </c>
      <c r="AK14" s="5" t="n">
        <v>1004</v>
      </c>
      <c r="AL14" s="5" t="n">
        <v>1004</v>
      </c>
      <c r="AM14" s="5" t="n">
        <v>1004</v>
      </c>
      <c r="AN14" s="5" t="n">
        <v>1004</v>
      </c>
      <c r="AO14" s="5" t="n">
        <v>1004</v>
      </c>
      <c r="AP14" s="5" t="n">
        <v>1004</v>
      </c>
      <c r="AQ14" s="5" t="n">
        <v>1004</v>
      </c>
      <c r="AR14" s="5" t="n">
        <v>1004</v>
      </c>
      <c r="AS14" s="5" t="n">
        <v>1004</v>
      </c>
      <c r="AT14" s="5" t="n">
        <v>1004</v>
      </c>
      <c r="AU14" s="5" t="n">
        <v>1004</v>
      </c>
      <c r="AV14" s="5" t="n">
        <v>1004</v>
      </c>
      <c r="AW14" s="5" t="n">
        <v>1004</v>
      </c>
      <c r="AX14" s="5" t="n">
        <v>1004</v>
      </c>
      <c r="AY14" s="5" t="n">
        <v>1004</v>
      </c>
      <c r="AZ14" s="5" t="n">
        <v>1004</v>
      </c>
      <c r="BA14" s="5" t="n">
        <v>1004</v>
      </c>
      <c r="BB14" s="5" t="n">
        <v>1004</v>
      </c>
      <c r="BC14" s="5" t="n">
        <v>1004</v>
      </c>
      <c r="BD14" s="5" t="n">
        <v>1004</v>
      </c>
      <c r="BE14" s="5" t="n">
        <v>1004</v>
      </c>
      <c r="BF14" s="5" t="n">
        <v>1004</v>
      </c>
      <c r="BG14" s="5" t="n">
        <v>57228</v>
      </c>
      <c r="BH14" s="5" t="n">
        <v>57228</v>
      </c>
    </row>
    <row r="15">
      <c r="A15" s="5" t="inlineStr">
        <is>
          <t>פרימיום אקספרס - אליהו (32226)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32226</v>
      </c>
      <c r="BH15" s="5" t="n">
        <v>0</v>
      </c>
    </row>
    <row r="16">
      <c r="A16" s="5" t="inlineStr">
        <is>
          <t>רצון את ליברמן (11000)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11000</v>
      </c>
      <c r="BH16" s="5" t="n">
        <v>0</v>
      </c>
    </row>
    <row r="17">
      <c r="A17" s="4" t="inlineStr">
        <is>
          <t>סה"כ</t>
        </is>
      </c>
      <c r="B17" s="4" t="str">
        <f>SUM(INDIRECT(ADDRESS(1,COLUMN())&amp;":"&amp;ADDRESS(ROW()-1,COLUMN())))</f>
      </c>
      <c r="C17" s="4" t="str">
        <f>SUM(INDIRECT(ADDRESS(1,COLUMN())&amp;":"&amp;ADDRESS(ROW()-1,COLUMN())))</f>
      </c>
      <c r="D17" s="4" t="str">
        <f>SUM(INDIRECT(ADDRESS(1,COLUMN())&amp;":"&amp;ADDRESS(ROW()-1,COLUMN())))</f>
      </c>
      <c r="E17" s="4" t="str">
        <f>SUM(INDIRECT(ADDRESS(1,COLUMN())&amp;":"&amp;ADDRESS(ROW()-1,COLUMN())))</f>
      </c>
      <c r="F17" s="4" t="str">
        <f>SUM(INDIRECT(ADDRESS(1,COLUMN())&amp;":"&amp;ADDRESS(ROW()-1,COLUMN())))</f>
      </c>
      <c r="G17" s="4" t="str">
        <f>SUM(INDIRECT(ADDRESS(1,COLUMN())&amp;":"&amp;ADDRESS(ROW()-1,COLUMN())))</f>
      </c>
      <c r="H17" s="4" t="str">
        <f>SUM(INDIRECT(ADDRESS(1,COLUMN())&amp;":"&amp;ADDRESS(ROW()-1,COLUMN())))</f>
      </c>
      <c r="I17" s="4" t="str">
        <f>SUM(INDIRECT(ADDRESS(1,COLUMN())&amp;":"&amp;ADDRESS(ROW()-1,COLUMN())))</f>
      </c>
      <c r="J17" s="4" t="str">
        <f>SUM(INDIRECT(ADDRESS(1,COLUMN())&amp;":"&amp;ADDRESS(ROW()-1,COLUMN())))</f>
      </c>
      <c r="K17" s="4" t="str">
        <f>SUM(INDIRECT(ADDRESS(1,COLUMN())&amp;":"&amp;ADDRESS(ROW()-1,COLUMN())))</f>
      </c>
      <c r="L17" s="4" t="str">
        <f>SUM(INDIRECT(ADDRESS(1,COLUMN())&amp;":"&amp;ADDRESS(ROW()-1,COLUMN())))</f>
      </c>
      <c r="M17" s="4" t="str">
        <f>SUM(INDIRECT(ADDRESS(1,COLUMN())&amp;":"&amp;ADDRESS(ROW()-1,COLUMN())))</f>
      </c>
      <c r="N17" s="4" t="str">
        <f>SUM(INDIRECT(ADDRESS(1,COLUMN())&amp;":"&amp;ADDRESS(ROW()-1,COLUMN())))</f>
      </c>
      <c r="O17" s="4" t="str">
        <f>SUM(INDIRECT(ADDRESS(1,COLUMN())&amp;":"&amp;ADDRESS(ROW()-1,COLUMN())))</f>
      </c>
      <c r="P17" s="4" t="str">
        <f>SUM(INDIRECT(ADDRESS(1,COLUMN())&amp;":"&amp;ADDRESS(ROW()-1,COLUMN())))</f>
      </c>
      <c r="Q17" s="4" t="str">
        <f>SUM(INDIRECT(ADDRESS(1,COLUMN())&amp;":"&amp;ADDRESS(ROW()-1,COLUMN())))</f>
      </c>
      <c r="R17" s="4" t="str">
        <f>SUM(INDIRECT(ADDRESS(1,COLUMN())&amp;":"&amp;ADDRESS(ROW()-1,COLUMN())))</f>
      </c>
      <c r="S17" s="4" t="str">
        <f>SUM(INDIRECT(ADDRESS(1,COLUMN())&amp;":"&amp;ADDRESS(ROW()-1,COLUMN())))</f>
      </c>
      <c r="T17" s="4" t="str">
        <f>SUM(INDIRECT(ADDRESS(1,COLUMN())&amp;":"&amp;ADDRESS(ROW()-1,COLUMN())))</f>
      </c>
      <c r="U17" s="4" t="str">
        <f>SUM(INDIRECT(ADDRESS(1,COLUMN())&amp;":"&amp;ADDRESS(ROW()-1,COLUMN())))</f>
      </c>
      <c r="V17" s="4" t="str">
        <f>SUM(INDIRECT(ADDRESS(1,COLUMN())&amp;":"&amp;ADDRESS(ROW()-1,COLUMN())))</f>
      </c>
      <c r="W17" s="4" t="str">
        <f>SUM(INDIRECT(ADDRESS(1,COLUMN())&amp;":"&amp;ADDRESS(ROW()-1,COLUMN())))</f>
      </c>
      <c r="X17" s="4" t="str">
        <f>SUM(INDIRECT(ADDRESS(1,COLUMN())&amp;":"&amp;ADDRESS(ROW()-1,COLUMN())))</f>
      </c>
      <c r="Y17" s="4" t="str">
        <f>SUM(INDIRECT(ADDRESS(1,COLUMN())&amp;":"&amp;ADDRESS(ROW()-1,COLUMN())))</f>
      </c>
      <c r="Z17" s="4" t="str">
        <f>SUM(INDIRECT(ADDRESS(1,COLUMN())&amp;":"&amp;ADDRESS(ROW()-1,COLUMN())))</f>
      </c>
      <c r="AA17" s="4" t="str">
        <f>SUM(INDIRECT(ADDRESS(1,COLUMN())&amp;":"&amp;ADDRESS(ROW()-1,COLUMN())))</f>
      </c>
      <c r="AB17" s="4" t="str">
        <f>SUM(INDIRECT(ADDRESS(1,COLUMN())&amp;":"&amp;ADDRESS(ROW()-1,COLUMN())))</f>
      </c>
      <c r="AC17" s="4" t="str">
        <f>SUM(INDIRECT(ADDRESS(1,COLUMN())&amp;":"&amp;ADDRESS(ROW()-1,COLUMN())))</f>
      </c>
      <c r="AD17" s="4" t="str">
        <f>SUM(INDIRECT(ADDRESS(1,COLUMN())&amp;":"&amp;ADDRESS(ROW()-1,COLUMN())))</f>
      </c>
      <c r="AE17" s="4" t="str">
        <f>SUM(INDIRECT(ADDRESS(1,COLUMN())&amp;":"&amp;ADDRESS(ROW()-1,COLUMN())))</f>
      </c>
      <c r="AF17" s="4" t="str">
        <f>SUM(INDIRECT(ADDRESS(1,COLUMN())&amp;":"&amp;ADDRESS(ROW()-1,COLUMN())))</f>
      </c>
      <c r="AG17" s="4" t="str">
        <f>SUM(INDIRECT(ADDRESS(1,COLUMN())&amp;":"&amp;ADDRESS(ROW()-1,COLUMN())))</f>
      </c>
      <c r="AH17" s="4" t="str">
        <f>SUM(INDIRECT(ADDRESS(1,COLUMN())&amp;":"&amp;ADDRESS(ROW()-1,COLUMN())))</f>
      </c>
      <c r="AI17" s="4" t="str">
        <f>SUM(INDIRECT(ADDRESS(1,COLUMN())&amp;":"&amp;ADDRESS(ROW()-1,COLUMN())))</f>
      </c>
      <c r="AJ17" s="4" t="str">
        <f>SUM(INDIRECT(ADDRESS(1,COLUMN())&amp;":"&amp;ADDRESS(ROW()-1,COLUMN())))</f>
      </c>
      <c r="AK17" s="4" t="str">
        <f>SUM(INDIRECT(ADDRESS(1,COLUMN())&amp;":"&amp;ADDRESS(ROW()-1,COLUMN())))</f>
      </c>
      <c r="AL17" s="4" t="str">
        <f>SUM(INDIRECT(ADDRESS(1,COLUMN())&amp;":"&amp;ADDRESS(ROW()-1,COLUMN())))</f>
      </c>
      <c r="AM17" s="4" t="str">
        <f>SUM(INDIRECT(ADDRESS(1,COLUMN())&amp;":"&amp;ADDRESS(ROW()-1,COLUMN())))</f>
      </c>
      <c r="AN17" s="4" t="str">
        <f>SUM(INDIRECT(ADDRESS(1,COLUMN())&amp;":"&amp;ADDRESS(ROW()-1,COLUMN())))</f>
      </c>
      <c r="AO17" s="4" t="str">
        <f>SUM(INDIRECT(ADDRESS(1,COLUMN())&amp;":"&amp;ADDRESS(ROW()-1,COLUMN())))</f>
      </c>
      <c r="AP17" s="4" t="str">
        <f>SUM(INDIRECT(ADDRESS(1,COLUMN())&amp;":"&amp;ADDRESS(ROW()-1,COLUMN())))</f>
      </c>
      <c r="AQ17" s="4" t="str">
        <f>SUM(INDIRECT(ADDRESS(1,COLUMN())&amp;":"&amp;ADDRESS(ROW()-1,COLUMN())))</f>
      </c>
      <c r="AR17" s="4" t="str">
        <f>SUM(INDIRECT(ADDRESS(1,COLUMN())&amp;":"&amp;ADDRESS(ROW()-1,COLUMN())))</f>
      </c>
      <c r="AS17" s="4" t="str">
        <f>SUM(INDIRECT(ADDRESS(1,COLUMN())&amp;":"&amp;ADDRESS(ROW()-1,COLUMN())))</f>
      </c>
      <c r="AT17" s="4" t="str">
        <f>SUM(INDIRECT(ADDRESS(1,COLUMN())&amp;":"&amp;ADDRESS(ROW()-1,COLUMN())))</f>
      </c>
      <c r="AU17" s="4" t="str">
        <f>SUM(INDIRECT(ADDRESS(1,COLUMN())&amp;":"&amp;ADDRESS(ROW()-1,COLUMN())))</f>
      </c>
      <c r="AV17" s="4" t="str">
        <f>SUM(INDIRECT(ADDRESS(1,COLUMN())&amp;":"&amp;ADDRESS(ROW()-1,COLUMN())))</f>
      </c>
      <c r="AW17" s="4" t="str">
        <f>SUM(INDIRECT(ADDRESS(1,COLUMN())&amp;":"&amp;ADDRESS(ROW()-1,COLUMN())))</f>
      </c>
      <c r="AX17" s="4" t="str">
        <f>SUM(INDIRECT(ADDRESS(1,COLUMN())&amp;":"&amp;ADDRESS(ROW()-1,COLUMN())))</f>
      </c>
      <c r="AY17" s="4" t="str">
        <f>SUM(INDIRECT(ADDRESS(1,COLUMN())&amp;":"&amp;ADDRESS(ROW()-1,COLUMN())))</f>
      </c>
      <c r="AZ17" s="4" t="str">
        <f>SUM(INDIRECT(ADDRESS(1,COLUMN())&amp;":"&amp;ADDRESS(ROW()-1,COLUMN())))</f>
      </c>
      <c r="BA17" s="4" t="str">
        <f>SUM(INDIRECT(ADDRESS(1,COLUMN())&amp;":"&amp;ADDRESS(ROW()-1,COLUMN())))</f>
      </c>
      <c r="BB17" s="4" t="str">
        <f>SUM(INDIRECT(ADDRESS(1,COLUMN())&amp;":"&amp;ADDRESS(ROW()-1,COLUMN())))</f>
      </c>
      <c r="BC17" s="4" t="str">
        <f>SUM(INDIRECT(ADDRESS(1,COLUMN())&amp;":"&amp;ADDRESS(ROW()-1,COLUMN())))</f>
      </c>
      <c r="BD17" s="4" t="str">
        <f>SUM(INDIRECT(ADDRESS(1,COLUMN())&amp;":"&amp;ADDRESS(ROW()-1,COLUMN())))</f>
      </c>
      <c r="BE17" s="4" t="str">
        <f>SUM(INDIRECT(ADDRESS(1,COLUMN())&amp;":"&amp;ADDRESS(ROW()-1,COLUMN())))</f>
      </c>
      <c r="BF17" s="4" t="str">
        <f>SUM(INDIRECT(ADDRESS(1,COLUMN())&amp;":"&amp;ADDRESS(ROW()-1,COLUMN())))</f>
      </c>
      <c r="BG17" s="4" t="str">
        <f>SUM(INDIRECT(ADDRESS(1,COLUMN())&amp;":"&amp;ADDRESS(ROW()-1,COLUMN())))</f>
      </c>
      <c r="BH17" s="4" t="str">
        <f>SUM(INDIRECT(ADDRESS(1,COLUMN())&amp;":"&amp;ADDRESS(ROW()-1,COLUMN())))</f>
      </c>
    </row>
  </sheetData>
  <sheetCalcPr fullCalcOnLoad="1"/>
  <mergeCells count="1">
    <mergeCell ref="A1:E1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2026-05-30T21:39:52Z</dcterms:created>
  <cp:revision>0</cp:revision>
</cp:coreProperties>
</file>